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5D6639EC-5AD8-48F7-8664-88600F10399F}" xr6:coauthVersionLast="47" xr6:coauthVersionMax="47" xr10:uidLastSave="{00000000-0000-0000-0000-000000000000}"/>
  <bookViews>
    <workbookView xWindow="-110" yWindow="-110" windowWidth="19420" windowHeight="11020" tabRatio="500" activeTab="1" xr2:uid="{00000000-000D-0000-FFFF-FFFF00000000}"/>
  </bookViews>
  <sheets>
    <sheet name="Income_Statement" sheetId="1" r:id="rId1"/>
    <sheet name="Sheet1" sheetId="9" r:id="rId2"/>
    <sheet name="Balance_Sheet" sheetId="2" r:id="rId3"/>
    <sheet name="Ratio_Analysis" sheetId="3" r:id="rId4"/>
    <sheet name="Variance_Analysis" sheetId="4" r:id="rId5"/>
    <sheet name="Business_Questions" sheetId="5" r:id="rId6"/>
    <sheet name="Executive_Summary" sheetId="6" r:id="rId7"/>
    <sheet name="CFO_Memo" sheetId="7" r:id="rId8"/>
    <sheet name="Claude_Prompt_Log" sheetId="8" r:id="rId9"/>
  </sheets>
  <definedNames>
    <definedName name="_xlchart.v1.0" hidden="1">Sheet1!$A$3:$A$11</definedName>
    <definedName name="_xlchart.v1.1" hidden="1">Sheet1!$B$2</definedName>
    <definedName name="_xlchart.v1.2" hidden="1">Sheet1!$B$3:$B$11</definedName>
    <definedName name="_xlchart.v1.3" hidden="1">Sheet1!$A$3:$A$11</definedName>
    <definedName name="_xlchart.v1.4" hidden="1">Sheet1!$B$2</definedName>
    <definedName name="_xlchart.v1.5" hidden="1">Sheet1!$B$3:$B$11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1" i="9" l="1"/>
  <c r="D14" i="4"/>
  <c r="C12" i="4"/>
  <c r="B12" i="4"/>
  <c r="D12" i="4" s="1"/>
  <c r="C11" i="4"/>
  <c r="B11" i="4"/>
  <c r="D11" i="4" s="1"/>
  <c r="C10" i="4"/>
  <c r="B10" i="4"/>
  <c r="D10" i="4" s="1"/>
  <c r="C9" i="4"/>
  <c r="B9" i="4"/>
  <c r="D9" i="4" s="1"/>
  <c r="C8" i="4"/>
  <c r="B8" i="4"/>
  <c r="D8" i="4" s="1"/>
  <c r="C7" i="4"/>
  <c r="B7" i="4"/>
  <c r="D7" i="4" s="1"/>
  <c r="C6" i="4"/>
  <c r="B6" i="4"/>
  <c r="D6" i="4" s="1"/>
  <c r="D13" i="4" s="1"/>
  <c r="E13" i="4" s="1"/>
  <c r="D5" i="4"/>
  <c r="D11" i="3"/>
  <c r="C12" i="6" s="1"/>
  <c r="C11" i="3"/>
  <c r="D10" i="3"/>
  <c r="C11" i="6" s="1"/>
  <c r="C10" i="3"/>
  <c r="D9" i="3"/>
  <c r="C10" i="6" s="1"/>
  <c r="C9" i="3"/>
  <c r="D8" i="3"/>
  <c r="C9" i="6" s="1"/>
  <c r="C8" i="3"/>
  <c r="D7" i="3"/>
  <c r="C8" i="6" s="1"/>
  <c r="C7" i="3"/>
  <c r="D6" i="3"/>
  <c r="C7" i="6" s="1"/>
  <c r="C6" i="3"/>
  <c r="D5" i="3"/>
  <c r="C6" i="6" s="1"/>
  <c r="C5" i="3"/>
  <c r="C40" i="2"/>
  <c r="B40" i="2"/>
  <c r="D40" i="2" s="1"/>
  <c r="E40" i="2" s="1"/>
  <c r="C39" i="2"/>
  <c r="B39" i="2"/>
  <c r="D39" i="2" s="1"/>
  <c r="E39" i="2" s="1"/>
  <c r="E35" i="2"/>
  <c r="D35" i="2"/>
  <c r="E33" i="2"/>
  <c r="D33" i="2"/>
  <c r="E32" i="2"/>
  <c r="D32" i="2"/>
  <c r="E31" i="2"/>
  <c r="D31" i="2"/>
  <c r="E30" i="2"/>
  <c r="D30" i="2"/>
  <c r="E29" i="2"/>
  <c r="D29" i="2"/>
  <c r="E26" i="2"/>
  <c r="D26" i="2"/>
  <c r="E25" i="2"/>
  <c r="D25" i="2"/>
  <c r="E24" i="2"/>
  <c r="D24" i="2"/>
  <c r="E23" i="2"/>
  <c r="D23" i="2"/>
  <c r="E22" i="2"/>
  <c r="D22" i="2"/>
  <c r="E21" i="2"/>
  <c r="D21" i="2"/>
  <c r="E20" i="2"/>
  <c r="D20" i="2"/>
  <c r="E19" i="2"/>
  <c r="D19" i="2"/>
  <c r="E16" i="2"/>
  <c r="D16" i="2"/>
  <c r="E15" i="2"/>
  <c r="D15" i="2"/>
  <c r="E14" i="2"/>
  <c r="D14" i="2"/>
  <c r="E13" i="2"/>
  <c r="D13" i="2"/>
  <c r="E12" i="2"/>
  <c r="D12" i="2"/>
  <c r="E11" i="2"/>
  <c r="D11" i="2"/>
  <c r="E10" i="2"/>
  <c r="D10" i="2"/>
  <c r="E9" i="2"/>
  <c r="D9" i="2"/>
  <c r="E8" i="2"/>
  <c r="D8" i="2"/>
  <c r="E7" i="2"/>
  <c r="D7" i="2"/>
  <c r="E6" i="2"/>
  <c r="D6" i="2"/>
  <c r="E35" i="1"/>
  <c r="D35" i="1"/>
  <c r="E33" i="1"/>
  <c r="D33" i="1"/>
  <c r="E32" i="1"/>
  <c r="D32" i="1"/>
  <c r="E30" i="1"/>
  <c r="D30" i="1"/>
  <c r="E29" i="1"/>
  <c r="D29" i="1"/>
  <c r="E28" i="1"/>
  <c r="D28" i="1"/>
  <c r="E26" i="1"/>
  <c r="D26" i="1"/>
  <c r="E25" i="1"/>
  <c r="D25" i="1"/>
  <c r="E24" i="1"/>
  <c r="D24" i="1"/>
  <c r="E23" i="1"/>
  <c r="D23" i="1"/>
  <c r="E21" i="1"/>
  <c r="D21" i="1"/>
  <c r="E20" i="1"/>
  <c r="D20" i="1"/>
  <c r="E18" i="1"/>
  <c r="D18" i="1"/>
  <c r="E16" i="1"/>
  <c r="D16" i="1"/>
  <c r="E15" i="1"/>
  <c r="D15" i="1"/>
  <c r="E14" i="1"/>
  <c r="D14" i="1"/>
  <c r="E13" i="1"/>
  <c r="D13" i="1"/>
  <c r="E11" i="1"/>
  <c r="D11" i="1"/>
  <c r="E10" i="1"/>
  <c r="D10" i="1"/>
  <c r="E9" i="1"/>
  <c r="D9" i="1"/>
  <c r="E7" i="1"/>
  <c r="D7" i="1"/>
  <c r="E6" i="1"/>
  <c r="D6" i="1"/>
  <c r="E5" i="1"/>
  <c r="D5" i="1"/>
  <c r="E11" i="3" l="1"/>
  <c r="B12" i="6"/>
  <c r="F11" i="3"/>
  <c r="F10" i="3"/>
  <c r="B11" i="6"/>
  <c r="E10" i="3"/>
  <c r="F9" i="3"/>
  <c r="B10" i="6"/>
  <c r="D10" i="6" s="1"/>
  <c r="E9" i="3"/>
  <c r="F8" i="3"/>
  <c r="E8" i="3"/>
  <c r="B9" i="6"/>
  <c r="B8" i="6"/>
  <c r="E7" i="3"/>
  <c r="F7" i="3"/>
  <c r="B7" i="6"/>
  <c r="F6" i="3"/>
  <c r="E6" i="3"/>
  <c r="E5" i="3"/>
  <c r="B6" i="6"/>
  <c r="F5" i="3"/>
  <c r="E14" i="4"/>
  <c r="E12" i="6" l="1"/>
  <c r="D12" i="6"/>
  <c r="E11" i="6"/>
  <c r="D11" i="6"/>
  <c r="E9" i="6"/>
  <c r="D9" i="6"/>
  <c r="E8" i="6"/>
  <c r="D8" i="6"/>
  <c r="D7" i="6"/>
  <c r="E7" i="6"/>
  <c r="D6" i="6"/>
  <c r="E6" i="6"/>
</calcChain>
</file>

<file path=xl/sharedStrings.xml><?xml version="1.0" encoding="utf-8"?>
<sst xmlns="http://schemas.openxmlformats.org/spreadsheetml/2006/main" count="256" uniqueCount="220">
  <si>
    <t>Societe Generale Ghana PLC — Income Statement</t>
  </si>
  <si>
    <t>Statement of Profit or Loss and Other Comprehensive Income | For the quarter ended 31 March</t>
  </si>
  <si>
    <t>All amounts in thousands of Ghana Cedis (GH¢'000) unless stated otherwise</t>
  </si>
  <si>
    <t>Line Item</t>
  </si>
  <si>
    <t>Q1 2026 (GH¢'000)</t>
  </si>
  <si>
    <t>Q1 2025 (GH¢'000)</t>
  </si>
  <si>
    <t>GH¢ Variance</t>
  </si>
  <si>
    <t>% Variance</t>
  </si>
  <si>
    <t>Interest income</t>
  </si>
  <si>
    <t>Interest expense</t>
  </si>
  <si>
    <t>Net interest income</t>
  </si>
  <si>
    <t>Fees and commission income</t>
  </si>
  <si>
    <t>Fees and commission expense</t>
  </si>
  <si>
    <t>Net fees and commission income</t>
  </si>
  <si>
    <t>Net trading revenue</t>
  </si>
  <si>
    <t>Net income from other financial instruments at fair value</t>
  </si>
  <si>
    <t>Other operating income</t>
  </si>
  <si>
    <t>Total other operating income</t>
  </si>
  <si>
    <t>Operating income</t>
  </si>
  <si>
    <t>Net impairment loss on financial assets</t>
  </si>
  <si>
    <t>Operating income net of impairment charges</t>
  </si>
  <si>
    <t>Personnel expense</t>
  </si>
  <si>
    <t>Depreciation and amortisation</t>
  </si>
  <si>
    <t>Other operating expenses</t>
  </si>
  <si>
    <t>Total operating expenses</t>
  </si>
  <si>
    <t>Profit before income tax</t>
  </si>
  <si>
    <t>Income tax expense</t>
  </si>
  <si>
    <t>Profit after tax</t>
  </si>
  <si>
    <t>Other comprehensive income for the period</t>
  </si>
  <si>
    <t>Total comprehensive income for the period</t>
  </si>
  <si>
    <t>Basic and diluted earnings per share (GH¢)</t>
  </si>
  <si>
    <t>Societe Generale Ghana PLC — Balance Sheet</t>
  </si>
  <si>
    <t>Statement of Financial Position | As at 31 March</t>
  </si>
  <si>
    <t>2026 (GH¢'000)</t>
  </si>
  <si>
    <t>2025 (GH¢'000)</t>
  </si>
  <si>
    <t>ASSETS</t>
  </si>
  <si>
    <t>Cash and cash equivalents</t>
  </si>
  <si>
    <t>Non-pledged trading assets</t>
  </si>
  <si>
    <t>Debt instruments at amortised cost</t>
  </si>
  <si>
    <t>Loans and advances to customers</t>
  </si>
  <si>
    <t>Equity investments</t>
  </si>
  <si>
    <t>Deferred tax assets</t>
  </si>
  <si>
    <t>Current tax assets</t>
  </si>
  <si>
    <t>Property, plant and equipment</t>
  </si>
  <si>
    <t>Intangible assets</t>
  </si>
  <si>
    <t>Other assets</t>
  </si>
  <si>
    <t>Total assets</t>
  </si>
  <si>
    <t>LIABILITIES</t>
  </si>
  <si>
    <t>Derivative financial liabilities</t>
  </si>
  <si>
    <t>Deposits from banks</t>
  </si>
  <si>
    <t>Deposits from customers</t>
  </si>
  <si>
    <t>Borrowings</t>
  </si>
  <si>
    <t>Current tax liabilities</t>
  </si>
  <si>
    <t>Deferred tax liabilities</t>
  </si>
  <si>
    <t>Other liabilities</t>
  </si>
  <si>
    <t>Total liabilities</t>
  </si>
  <si>
    <t>SHAREHOLDERS' FUND</t>
  </si>
  <si>
    <t>Stated capital</t>
  </si>
  <si>
    <t>Retained earnings</t>
  </si>
  <si>
    <t>Revaluation reserve</t>
  </si>
  <si>
    <t>Statutory reserve</t>
  </si>
  <si>
    <t>Total shareholders' fund</t>
  </si>
  <si>
    <t>Total liabilities and shareholders' fund</t>
  </si>
  <si>
    <t>BALANCE SHEET INTEGRITY CHECK</t>
  </si>
  <si>
    <t>Period</t>
  </si>
  <si>
    <t>Total Assets</t>
  </si>
  <si>
    <t>Total Liabilities + Equity</t>
  </si>
  <si>
    <t>Difference</t>
  </si>
  <si>
    <t>Status</t>
  </si>
  <si>
    <t>2026</t>
  </si>
  <si>
    <t>2025</t>
  </si>
  <si>
    <t>Societe Generale Ghana PLC — Ratio Analysis</t>
  </si>
  <si>
    <t>Key Banking Ratios | Q1 2026 vs Q1 2025 | Figures sourced from Income_Statement and Balance_Sheet tabs</t>
  </si>
  <si>
    <t>KPI</t>
  </si>
  <si>
    <t>Formula</t>
  </si>
  <si>
    <t>Q1 2026</t>
  </si>
  <si>
    <t>Q1 2025</t>
  </si>
  <si>
    <t>Change</t>
  </si>
  <si>
    <t>Direction</t>
  </si>
  <si>
    <t>Net Interest Margin (NIM)</t>
  </si>
  <si>
    <t>Net Interest Income / Total Assets</t>
  </si>
  <si>
    <t>Cost-to-Income Ratio</t>
  </si>
  <si>
    <t>ABS(Total Operating Expenses) / Operating Income</t>
  </si>
  <si>
    <t>Return on Assets (ROA)</t>
  </si>
  <si>
    <t>Profit After Tax / Total Assets</t>
  </si>
  <si>
    <t>Return on Equity (ROE)</t>
  </si>
  <si>
    <t>Profit After Tax / Total Shareholders' Fund</t>
  </si>
  <si>
    <t>Loan-to-Deposit Ratio (LDR)</t>
  </si>
  <si>
    <t>Loans &amp; Advances to Customers / Deposits from Customers</t>
  </si>
  <si>
    <t>Equity-to-Assets Ratio</t>
  </si>
  <si>
    <t>Total Shareholders' Fund / Total Assets</t>
  </si>
  <si>
    <t>Profit Before Tax Margin</t>
  </si>
  <si>
    <t>Profit Before Tax / Operating Income</t>
  </si>
  <si>
    <t>Note: ROA, ROE, and NIM are quarterly ratios (not annualised). Divide the quarterly P&amp;L figure by the period-end balance sheet figure. All formulas link to the Income_Statement and Balance_Sheet tabs (green = cross-sheet reference).</t>
  </si>
  <si>
    <t>Societe Generale Ghana PLC — Variance Analysis &amp; Profit Bridge</t>
  </si>
  <si>
    <t>Profit Before Tax: Q1 2025 → Q1 2026 | Bridge Analysis | GH¢'000</t>
  </si>
  <si>
    <t>Driver</t>
  </si>
  <si>
    <t>GH¢ Impact on PBT</t>
  </si>
  <si>
    <t>Commentary</t>
  </si>
  <si>
    <t>Starting PBT (Q1 2025)</t>
  </si>
  <si>
    <t>Baseline profit before tax</t>
  </si>
  <si>
    <t>Change in Net Interest Income</t>
  </si>
  <si>
    <t>Core lending revenue — interest earned minus interest paid</t>
  </si>
  <si>
    <t>Change in Net Fees &amp; Commission</t>
  </si>
  <si>
    <t>Revenue from banking services and transaction fees</t>
  </si>
  <si>
    <t>Change in Total Other Op. Income</t>
  </si>
  <si>
    <t>Trading revenue, fair value gains, other income</t>
  </si>
  <si>
    <t>Change in Impairment (net swing)</t>
  </si>
  <si>
    <t>Swung from GH¢28,942k credit in 2025 to GH¢21,167k charge — total swing of GH¢50,109k</t>
  </si>
  <si>
    <t>Change in Personnel Expense</t>
  </si>
  <si>
    <t>Staff costs — salaries, benefits, and related charges</t>
  </si>
  <si>
    <t>Change in Depreciation &amp; Amort.</t>
  </si>
  <si>
    <t>Fastest-growing cost line in percentage terms (+33.9%)</t>
  </si>
  <si>
    <t>Change in Other Operating Exp.</t>
  </si>
  <si>
    <t>Admin, technology, occupancy, and other overhead costs</t>
  </si>
  <si>
    <t>Total Change in PBT (should equal Q1 2026 PBT − Q1 2025 PBT)</t>
  </si>
  <si>
    <t>Ending PBT (Q1 2026) — cross-check</t>
  </si>
  <si>
    <t>TOP 3 DRIVERS OF PROFIT DECLINE (by absolute GH¢ impact)</t>
  </si>
  <si>
    <t>Rank</t>
  </si>
  <si>
    <t>GH¢ Impact (000)</t>
  </si>
  <si>
    <t>% of Total Decline</t>
  </si>
  <si>
    <t>Assessment</t>
  </si>
  <si>
    <t>1</t>
  </si>
  <si>
    <t>Decline in Net Interest Income</t>
  </si>
  <si>
    <t>STRUCTURAL — Interest income fell GH¢86,464k while rates and/or loan volumes declined</t>
  </si>
  <si>
    <t>2</t>
  </si>
  <si>
    <t>Impairment swing (credit → charge)</t>
  </si>
  <si>
    <t>SIGNIFICANT — A GH¢28,942k release in 2025 swung to a GH¢21,167k charge in 2026</t>
  </si>
  <si>
    <t>3</t>
  </si>
  <si>
    <t>Rise in Depreciation &amp; Amortisation</t>
  </si>
  <si>
    <t>MODERATE — Fastest-growing cost line at 33.9% YoY; likely driven by asset investment</t>
  </si>
  <si>
    <t>Societe Generale Ghana PLC — Business Questions: Model Answers</t>
  </si>
  <si>
    <t>All answers are sourced from the Income_Statement, Balance_Sheet, Ratio_Analysis, and Variance_Analysis tabs. Figures in GH¢'000.</t>
  </si>
  <si>
    <t>#</t>
  </si>
  <si>
    <t>Business Question</t>
  </si>
  <si>
    <t>Model Answer</t>
  </si>
  <si>
    <t>What was the YoY change (GH¢ and %) in net interest income, and what does this suggest?</t>
  </si>
  <si>
    <t>Net interest income fell from GH¢305,016k to GH¢224,810k — a decline of GH¢80,206k or (26.3%). This indicates that the bank's core lending revenue contracted significantly, likely driven by a combination of lower interest rates on loans (reflecting monetary policy easing), reduced loan book volume (loans fell from GH¢4,817,070k to GH¢4,183,532k), or a mix shift toward lower-yielding assets. This is the single largest driver of the profit decline.</t>
  </si>
  <si>
    <t>How did operating income change YoY, and which revenue line contributed most to the decline?</t>
  </si>
  <si>
    <t>Operating income fell from GH¢347,494k to GH¢275,515k — a decline of GH¢71,979k or (20.7%). Net interest income was the dominant driver, contributing GH¢80,206k of negative variance. This was partially offset by improved net fees and commission income (+GH¢1,420k) and stronger other operating income (+GH¢6,807k).</t>
  </si>
  <si>
    <t>The impairment line swung from +GH¢28,942k (2025) to (GH¢21,167k) (2026). What does this mean and how much did it affect profitability?</t>
  </si>
  <si>
    <t>In Q1 2025, the bank released provisions — it had over-reserved for bad loans in prior periods and reversed GH¢28,942k back into profit (a credit). In Q1 2026, the bank charged GH¢21,167k in new provisions — increasing its reserves against loans expected to go bad. The total swing was GH¢50,109k — from a +GH¢28,942k profit boost to a (GH¢21,167k) profit drag. This is the second-largest driver of the YoY profit decline and signals a deterioration in credit quality.</t>
  </si>
  <si>
    <t>4</t>
  </si>
  <si>
    <t>Did total operating expenses rise or fall YoY? Which cost line drove the change?</t>
  </si>
  <si>
    <t>Total operating expenses rose from GH¢163,825k to GH¢176,025k — an increase of GH¢12,200k or 7.4%. The largest driver was depreciation and amortisation, which rose from GH¢28,758k to GH¢38,512k — an increase of GH¢9,754k or 33.9%. This is the fastest-growing cost line and suggests significant capital investment in assets (technology, branches, or equipment) whose depreciation is now flowing through the P&amp;L.</t>
  </si>
  <si>
    <t>5</t>
  </si>
  <si>
    <t>What was the Net Interest Margin (NIM) in Q1 2026 vs Q1 2025?</t>
  </si>
  <si>
    <t>Q1 2026 NIM: GH¢224,810k / GH¢10,623,681k = 2.12% (quarterly). Q1 2025 NIM: GH¢305,016k / GH¢10,570,869k = 2.89% (quarterly). The NIM declined by 0.77 percentage points — meaning the bank earns less net interest income per cedi of assets deployed. This reflects the combination of falling interest income and a shift in the asset mix toward debt instruments (which may carry lower yields than customer loans).</t>
  </si>
  <si>
    <t>6</t>
  </si>
  <si>
    <t>What was the cost-to-income ratio in both periods? Is the bank becoming more or less efficient?</t>
  </si>
  <si>
    <t>Q1 2026: GH¢176,025k / GH¢275,515k = 63.9%. Q1 2025: GH¢163,825k / GH¢347,494k = 47.1%. The ratio rose by 16.8 percentage points — a significant deterioration in efficiency. In 2025, the bank spent 47 pesewas to earn one cedi of income. In 2026, it spent 64 pesewas. The bank is becoming meaningfully less efficient, driven by declining revenue rather than runaway cost growth.</t>
  </si>
  <si>
    <t>7</t>
  </si>
  <si>
    <t>What was the Return on Assets (ROA) and Return on Equity (ROE) for Q1 2026 vs Q1 2025?</t>
  </si>
  <si>
    <t>ROA — Q1 2026: GH¢51,685k / GH¢10,623,681k = 0.49% (quarterly). Q1 2025: GH¢136,617k / GH¢10,570,869k = 1.29% (quarterly). ROE — Q1 2026: GH¢51,685k / GH¢2,653,460k = 1.95% (quarterly). Q1 2025: GH¢136,617k / GH¢2,582,499k = 5.29% (quarterly). Both ratios deteriorated sharply, reflecting the significant drop in profitability against a broadly stable asset and equity base.</t>
  </si>
  <si>
    <t>8</t>
  </si>
  <si>
    <t>How did the loan-to-deposit ratio change YoY? What does this suggest?</t>
  </si>
  <si>
    <t>LDR Q1 2026: GH¢4,183,532k / GH¢6,666,855k = 62.8%. LDR Q1 2025: GH¢4,817,070k / GH¢6,443,855k = 74.8%. The ratio fell 12 percentage points, meaning the bank deployed proportionally less of its deposit base into loans. This suggests either a deliberate reduction in lending risk appetite or a shift in asset allocation — supported by the concurrent rise in debt instruments at amortised cost from GH¢1,396,566k to GH¢2,615,737k (likely government securities). While this reduces credit risk, it may further suppress NIM if those instruments carry lower yields.</t>
  </si>
  <si>
    <t>9</t>
  </si>
  <si>
    <t>What is the equity-to-assets ratio and how does it compare between 2026 and 2025?</t>
  </si>
  <si>
    <t>Q1 2026: GH¢2,653,460k / GH¢10,623,681k = 25.0%. Q1 2025: GH¢2,582,499k / GH¢10,570,869k = 24.4%. The ratio improved marginally (+0.6pp), reflecting slight equity growth (from retained earnings) against a broadly flat total asset base. The bank remains well-capitalised relative to its asset base.</t>
  </si>
  <si>
    <t>10</t>
  </si>
  <si>
    <t>Summarise in three sentences: what are the most important things the board needs to understand about Q1 2026 performance?</t>
  </si>
  <si>
    <t>Profit before tax fell 63.2% YoY from GH¢212,611k to GH¢78,323k, driven primarily by a GH¢80,206k decline in net interest income and a GH¢50,109k swing in the impairment charge from a 2025 credit to a 2026 provision charge. The bank's cost-to-income ratio deteriorated sharply from 47.1% to 63.9%, not because costs spiralled but because income fell much faster — making efficiency improvement contingent on revenue recovery rather than further cost-cutting. The balance sheet remains stable with improving capitalisation, but the shift away from loans toward government securities signals a more conservative lending posture that may constrain NIM recovery in Q2 2026.</t>
  </si>
  <si>
    <t>Societe Generale Ghana PLC — Executive Summary: Q1 2026 Financial Performance</t>
  </si>
  <si>
    <t>Prepared by: Junior Financial Analyst Intern | FP&amp;A Department | For: Nana Kofi Asare-Mensah, Head of FP&amp;A | Date: Q1 2026</t>
  </si>
  <si>
    <t>KPI SCORECARD — Q1 2026 vs Q1 2025</t>
  </si>
  <si>
    <t>Signal</t>
  </si>
  <si>
    <t>"⚪ Neutral"</t>
  </si>
  <si>
    <t>TOP 3 FINDINGS</t>
  </si>
  <si>
    <t>Net interest income fell GH¢80,206k (26.3%) — the single largest driver of the 63.2% profit decline, reflecting lower lending volumes and/or rates.</t>
  </si>
  <si>
    <t>The impairment line swung GH¢50,109k (from a GH¢28,942k credit to a GH¢21,167k charge), signalling a deterioration in credit quality that requires close monitoring.</t>
  </si>
  <si>
    <t>Cost-to-income ratio deteriorated from 47.1% to 63.9% — not from cost growth (+7.4%) but from a sharper revenue decline (−20.7%), making revenue recovery the priority.</t>
  </si>
  <si>
    <t>SOCIETE GENERALE GHANA PLC — CFO COMMENTARY MEMO</t>
  </si>
  <si>
    <t>TO:</t>
  </si>
  <si>
    <t>Nana Kofi Asare-Mensah, Head of Financial Planning and Analysis</t>
  </si>
  <si>
    <t>FROM:</t>
  </si>
  <si>
    <t>Junior Financial Analyst Intern, FP&amp;A</t>
  </si>
  <si>
    <t>SUBJECT:</t>
  </si>
  <si>
    <t>Q1 2026 Financial Performance — Analysis for CFO Briefing</t>
  </si>
  <si>
    <t>DATE:</t>
  </si>
  <si>
    <t>May 2026</t>
  </si>
  <si>
    <t>PERFORMANCE SUMMARY</t>
  </si>
  <si>
    <t>Societe Generale Ghana PLC reported profit before tax of GH¢78,323k for Q1 2026, a decline of GH¢134,288k (63.2%) compared to GH¢212,611k in Q1 2025. Profit after tax fell from GH¢136,617k to GH¢51,685k, with earnings per share declining from GH¢0.77 to GH¢0.29. The performance was driven by a confluence of revenue contraction, a reversal of the prior-year impairment credit, and a modest rise in operating costs.</t>
  </si>
  <si>
    <t>KEY DRIVERS OF VARIANCE</t>
  </si>
  <si>
    <t>1.  Net interest income fell GH¢80,206k (−26.3%) from GH¢305,016k to GH¢224,810k — the primary driver of the decline, reflecting reduced loan book volume (loans and advances fell GH¢633,538k) and lower interest yields.</t>
  </si>
  <si>
    <t>2.  The impairment line swung GH¢50,109k from a GH¢28,942k credit (provision release) in Q1 2025 to a GH¢21,167k charge (new provision) in Q1 2026, signalling a deterioration in portfolio credit quality.</t>
  </si>
  <si>
    <t>3.  Total operating expenses rose GH¢12,200k (+7.4%), led by depreciation and amortisation which increased GH¢9,754k (+33.9%), likely reflecting recent capital investment now flowing through the income statement.</t>
  </si>
  <si>
    <t>4.  Cost-to-income ratio deteriorated from 47.1% to 63.9% — not primarily from cost growth, but because operating income fell 20.7% while costs rose only 7.4%. The efficiency challenge is a revenue problem, not a cost problem.</t>
  </si>
  <si>
    <t>5.  Partially offsetting factors include improved net fees and commission income (+GH¢1,420k) and stronger other operating income (+GH¢6,807k, driven by trading revenue growth of GH¢6,150k).</t>
  </si>
  <si>
    <t>BALANCE SHEET HIGHLIGHTS</t>
  </si>
  <si>
    <t>Total assets remained broadly stable at GH¢10,623,681k (vs GH¢10,570,869k in 2025), with a notable shift in asset composition: loans and advances to customers declined by GH¢633,538k while debt instruments at amortised cost rose by GH¢1,219,171k, suggesting deliberate reallocation toward government securities or fixed income instruments. The loan-to-deposit ratio fell from 74.8% to 62.8%, indicating a more conservative lending posture. Customer deposits grew by GH¢223,000k (+3.5%), providing a stable funding base. The equity-to-assets ratio improved marginally from 24.4% to 25.0%, and the bank remains well-capitalised.</t>
  </si>
  <si>
    <t>OUTLOOK NOTE</t>
  </si>
  <si>
    <t>Management should closely monitor three leading indicators in Q2 2026: the trajectory of net interest income (which will depend on whether lending volumes recover or monetary conditions shift further), the evolution of impairment charges (a second consecutive provision charge would confirm a systemic credit quality concern rather than a one-off), and the realisation of expected returns from the capital investments reflected in the rising depreciation line. Revenue recovery — not cost reduction — is the primary lever available to restore the profitability ratios to Q1 2025 levels.</t>
  </si>
  <si>
    <t>Claude AI Prompt Log — SG Ghana Q1 2026 Financial Analysis Internship</t>
  </si>
  <si>
    <t>Documents 6 example Claude AI prompts used during the internship. Students should replace these with their own actual prompts.</t>
  </si>
  <si>
    <t>Prompt Used</t>
  </si>
  <si>
    <t>What It Helped Me Accomplish</t>
  </si>
  <si>
    <t>Write an Excel formula to calculate the percentage change between two values where Q1 2026 is in column B and Q1 2025 is in column C. Handle the case where the prior period is zero.</t>
  </si>
  <si>
    <t>Helped me build the % Variance column on the Income_Statement and Balance_Sheet tabs with a formula that avoids #DIV/0! errors.</t>
  </si>
  <si>
    <t>Define Net Interest Margin for a commercial bank and write the Excel formula. My net interest income is in Income_Statement tab cell B7. My total assets are in Balance_Sheet tab cell B16. I do not want to annualise — just the quarterly ratio.</t>
  </si>
  <si>
    <t>Helped me confirm the correct NIM definition (quarterly, not annualised) and write the cross-sheet Excel formula for the Ratio_Analysis tab.</t>
  </si>
  <si>
    <t>The impairment line on Societe Generale Ghana's income statement moved from +GH¢28,942k in Q1 2025 to -GH¢21,167k in Q1 2026. Explain in plain language what this means for the bank and how to quantify the total impact on profit.</t>
  </si>
  <si>
    <t>Helped me understand the provision release vs provision charge concept and correctly calculate the GH¢50,109k total swing for the profit bridge and business question answers.</t>
  </si>
  <si>
    <t>I have built a profit bridge table in Excel showing the GH¢ impact of each income statement line on the year-on-year change in profit before tax. My total driver sum is -134,200 but the actual PBT change is -134,288. What could explain the small difference and how should I validate the bridge?</t>
  </si>
  <si>
    <t>Helped me identify that I had rounded one line item and showed me how to add a bridge balance-check formula using IF and ABS to confirm the bridge reconciles.</t>
  </si>
  <si>
    <t>I am building a waterfall chart in Excel to show a profit bridge from Q1 2025 to Q1 2026 for a Ghanaian bank. How do I structure the data range to create a waterfall in Excel, including the starting bar, positive bars, negative bars, and the ending bar?</t>
  </si>
  <si>
    <t>Helped me set up the stacked bar approach needed to simulate a waterfall chart in Excel, including how to format the invisible base series and colour the positive vs negative bars.</t>
  </si>
  <si>
    <t>I am a junior financial analyst writing a CFO commentary memo for Societe Generale Ghana's Q1 2026 results. Here is my draft [pasted memo text]. Review it for professional tone, precision, and whether my interpretation of the cost-to-income deterioration is correct.</t>
  </si>
  <si>
    <t>Helped me refine the memo language, confirmed that my cost-to-income interpretation (revenue problem not cost problem) was analytically correct, and suggested stronger phrasing for the outlook section.</t>
  </si>
  <si>
    <t>Net Interest Income</t>
  </si>
  <si>
    <t>Net Fees &amp; Commission</t>
  </si>
  <si>
    <t>Total Other Op. Income</t>
  </si>
  <si>
    <t>Impairment (net swing)</t>
  </si>
  <si>
    <t>Personnel Expense</t>
  </si>
  <si>
    <t>Depreciation &amp; Amort.</t>
  </si>
  <si>
    <t>Other Operating Exp.</t>
  </si>
  <si>
    <t>Total PBT Q1 2026</t>
  </si>
  <si>
    <t>Build the Waterfall Chart (Profit Bridge)</t>
  </si>
  <si>
    <t xml:space="preserve">Q1 2026 </t>
  </si>
  <si>
    <t xml:space="preserve">Q1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</si>
</sst>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0;\(#,##0\);\-"/>
    <numFmt numFmtId="165" formatCode="0.0%;\-0.0%;\-"/>
    <numFmt numFmtId="166" formatCode="0.00%;\-0.00%;\-"/>
    <numFmt numFmtId="168" formatCode="_-* #,##0_-;\-* #,##0_-;_-* &quot;-&quot;??_-;_-@_-"/>
  </numFmts>
  <fonts count="20" x14ac:knownFonts="1">
    <font>
      <sz val="11"/>
      <color theme="1"/>
      <name val="Calibri"/>
      <family val="2"/>
      <charset val="1"/>
    </font>
    <font>
      <sz val="10"/>
      <name val="Arial"/>
      <family val="2"/>
    </font>
    <font>
      <b/>
      <sz val="13"/>
      <color rgb="FFFFFFFF"/>
      <name val="Arial"/>
      <family val="2"/>
    </font>
    <font>
      <sz val="10"/>
      <color rgb="FF1B3F6E"/>
      <name val="Arial"/>
      <family val="2"/>
    </font>
    <font>
      <sz val="9"/>
      <color rgb="FF666666"/>
      <name val="Arial"/>
      <family val="2"/>
    </font>
    <font>
      <b/>
      <sz val="11"/>
      <color rgb="FFFFFFFF"/>
      <name val="Arial"/>
      <family val="2"/>
    </font>
    <font>
      <b/>
      <sz val="10"/>
      <color rgb="FF0000FF"/>
      <name val="Arial"/>
      <family val="2"/>
    </font>
    <font>
      <sz val="10"/>
      <color rgb="FF000000"/>
      <name val="Arial"/>
      <family val="2"/>
    </font>
    <font>
      <b/>
      <sz val="10"/>
      <color rgb="FF1B3F6E"/>
      <name val="Arial"/>
      <family val="2"/>
    </font>
    <font>
      <b/>
      <sz val="10"/>
      <color rgb="FFFFFFFF"/>
      <name val="Arial"/>
      <family val="2"/>
    </font>
    <font>
      <b/>
      <sz val="10"/>
      <color rgb="FF1A1A1A"/>
      <name val="Arial"/>
      <family val="2"/>
    </font>
    <font>
      <sz val="9"/>
      <color rgb="FF444444"/>
      <name val="Arial"/>
      <family val="2"/>
    </font>
    <font>
      <sz val="10"/>
      <color rgb="FF006400"/>
      <name val="Arial"/>
      <family val="2"/>
    </font>
    <font>
      <sz val="9"/>
      <color rgb="FF555555"/>
      <name val="Arial"/>
      <family val="2"/>
    </font>
    <font>
      <sz val="10"/>
      <color rgb="FF1A1A1A"/>
      <name val="Arial"/>
      <family val="2"/>
    </font>
    <font>
      <sz val="9"/>
      <color rgb="FF1B3F6E"/>
      <name val="Arial"/>
      <family val="2"/>
    </font>
    <font>
      <b/>
      <sz val="9"/>
      <color rgb="FF1B3F6E"/>
      <name val="Arial"/>
      <family val="2"/>
    </font>
    <font>
      <sz val="9"/>
      <color rgb="FF1A1A1A"/>
      <name val="Arial"/>
      <family val="2"/>
    </font>
    <font>
      <b/>
      <sz val="12"/>
      <color rgb="FFFFFFFF"/>
      <name val="Arial"/>
      <family val="2"/>
    </font>
    <font>
      <b/>
      <sz val="11"/>
      <color theme="1"/>
      <name val="Calibri"/>
      <family val="2"/>
    </font>
  </fonts>
  <fills count="12">
    <fill>
      <patternFill patternType="none"/>
    </fill>
    <fill>
      <patternFill patternType="gray125"/>
    </fill>
    <fill>
      <patternFill patternType="solid">
        <fgColor rgb="FF1B3F6E"/>
        <bgColor rgb="FF444444"/>
      </patternFill>
    </fill>
    <fill>
      <patternFill patternType="solid">
        <fgColor rgb="FFD5E8F0"/>
        <bgColor rgb="FFE2EFDA"/>
      </patternFill>
    </fill>
    <fill>
      <patternFill patternType="solid">
        <fgColor rgb="FFF2F2F2"/>
        <bgColor rgb="FFF9F9F9"/>
      </patternFill>
    </fill>
    <fill>
      <patternFill patternType="solid">
        <fgColor rgb="FFFFFFFF"/>
        <bgColor rgb="FFF9F9F9"/>
      </patternFill>
    </fill>
    <fill>
      <patternFill patternType="solid">
        <fgColor rgb="FFBDD7EE"/>
        <bgColor rgb="FFCCCCCC"/>
      </patternFill>
    </fill>
    <fill>
      <patternFill patternType="solid">
        <fgColor rgb="FF2E75B6"/>
        <bgColor rgb="FF0066CC"/>
      </patternFill>
    </fill>
    <fill>
      <patternFill patternType="solid">
        <fgColor rgb="FFE2EFDA"/>
        <bgColor rgb="FFD5E8F0"/>
      </patternFill>
    </fill>
    <fill>
      <patternFill patternType="solid">
        <fgColor rgb="FFFFF2CC"/>
        <bgColor rgb="FFFCE4D6"/>
      </patternFill>
    </fill>
    <fill>
      <patternFill patternType="solid">
        <fgColor rgb="FFFCE4D6"/>
        <bgColor rgb="FFFFF2CC"/>
      </patternFill>
    </fill>
    <fill>
      <patternFill patternType="solid">
        <fgColor rgb="FFF9F9F9"/>
        <bgColor rgb="FFFFFFFF"/>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bottom style="medium">
        <color rgb="FF2E75B6"/>
      </bottom>
      <diagonal/>
    </border>
    <border>
      <left style="thin">
        <color rgb="FFCCCCCC"/>
      </left>
      <right/>
      <top style="thin">
        <color rgb="FFCCCCCC"/>
      </top>
      <bottom style="thin">
        <color rgb="FFCCCCCC"/>
      </bottom>
      <diagonal/>
    </border>
  </borders>
  <cellStyleXfs count="2">
    <xf numFmtId="0" fontId="0" fillId="0" borderId="0"/>
    <xf numFmtId="43" fontId="1" fillId="0" borderId="0" applyBorder="0" applyAlignment="0" applyProtection="0"/>
  </cellStyleXfs>
  <cellXfs count="72">
    <xf numFmtId="0" fontId="0" fillId="0" borderId="0" xfId="0"/>
    <xf numFmtId="0" fontId="5" fillId="7" borderId="3" xfId="0" applyFont="1" applyFill="1" applyBorder="1" applyAlignment="1">
      <alignment horizontal="left" vertical="top" wrapText="1"/>
    </xf>
    <xf numFmtId="0" fontId="0" fillId="5" borderId="3" xfId="0" applyFill="1" applyBorder="1" applyAlignment="1">
      <alignment horizontal="left" vertical="top" wrapText="1"/>
    </xf>
    <xf numFmtId="0" fontId="14" fillId="5" borderId="3" xfId="0" applyFont="1" applyFill="1" applyBorder="1" applyAlignment="1">
      <alignment horizontal="left" vertical="top" wrapText="1"/>
    </xf>
    <xf numFmtId="0" fontId="8" fillId="3" borderId="3" xfId="0" applyFont="1" applyFill="1" applyBorder="1" applyAlignment="1">
      <alignment horizontal="left" vertical="top" wrapText="1"/>
    </xf>
    <xf numFmtId="0" fontId="14" fillId="3" borderId="3" xfId="0" applyFont="1" applyFill="1" applyBorder="1" applyAlignment="1">
      <alignment horizontal="left" vertical="center" wrapText="1"/>
    </xf>
    <xf numFmtId="0" fontId="14" fillId="9" borderId="3" xfId="0" applyFont="1" applyFill="1" applyBorder="1" applyAlignment="1">
      <alignment horizontal="left" vertical="center" wrapText="1"/>
    </xf>
    <xf numFmtId="0" fontId="14" fillId="8" borderId="3" xfId="0" applyFont="1" applyFill="1" applyBorder="1" applyAlignment="1">
      <alignment horizontal="left" vertical="center" wrapText="1"/>
    </xf>
    <xf numFmtId="0" fontId="5" fillId="7" borderId="0" xfId="0" applyFont="1" applyFill="1" applyAlignment="1">
      <alignment horizontal="center" vertical="center" wrapText="1"/>
    </xf>
    <xf numFmtId="0" fontId="15" fillId="3" borderId="0" xfId="0" applyFont="1" applyFill="1" applyAlignment="1">
      <alignment horizontal="center" vertical="center" wrapText="1"/>
    </xf>
    <xf numFmtId="0" fontId="4" fillId="9" borderId="0" xfId="0" applyFont="1" applyFill="1" applyAlignment="1">
      <alignment horizontal="left" vertical="center" wrapText="1"/>
    </xf>
    <xf numFmtId="0" fontId="9" fillId="2" borderId="0" xfId="0" applyFont="1" applyFill="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5" fillId="2" borderId="1" xfId="0" applyFont="1" applyFill="1" applyBorder="1" applyAlignment="1">
      <alignment horizontal="center" vertical="center" wrapText="1"/>
    </xf>
    <xf numFmtId="0" fontId="0" fillId="4" borderId="1" xfId="0" applyFill="1" applyBorder="1" applyAlignment="1">
      <alignment horizontal="left" vertical="center" indent="1"/>
    </xf>
    <xf numFmtId="164" fontId="6" fillId="4" borderId="1" xfId="0" applyNumberFormat="1" applyFont="1" applyFill="1" applyBorder="1" applyAlignment="1">
      <alignment horizontal="right" vertical="center"/>
    </xf>
    <xf numFmtId="164" fontId="7" fillId="4" borderId="1" xfId="0" applyNumberFormat="1" applyFont="1" applyFill="1" applyBorder="1" applyAlignment="1">
      <alignment horizontal="right" vertical="center"/>
    </xf>
    <xf numFmtId="165" fontId="7" fillId="4" borderId="1" xfId="0" applyNumberFormat="1" applyFont="1" applyFill="1" applyBorder="1" applyAlignment="1">
      <alignment horizontal="right" vertical="center"/>
    </xf>
    <xf numFmtId="0" fontId="0" fillId="5" borderId="1" xfId="0" applyFill="1" applyBorder="1" applyAlignment="1">
      <alignment horizontal="left" vertical="center" indent="1"/>
    </xf>
    <xf numFmtId="164" fontId="6" fillId="5" borderId="1" xfId="0" applyNumberFormat="1" applyFont="1" applyFill="1" applyBorder="1" applyAlignment="1">
      <alignment horizontal="right" vertical="center"/>
    </xf>
    <xf numFmtId="164" fontId="7" fillId="5" borderId="1" xfId="0" applyNumberFormat="1" applyFont="1" applyFill="1" applyBorder="1" applyAlignment="1">
      <alignment horizontal="right" vertical="center"/>
    </xf>
    <xf numFmtId="165" fontId="7" fillId="5" borderId="1" xfId="0" applyNumberFormat="1" applyFont="1" applyFill="1" applyBorder="1" applyAlignment="1">
      <alignment horizontal="right" vertical="center"/>
    </xf>
    <xf numFmtId="0" fontId="8" fillId="6" borderId="2" xfId="0" applyFont="1" applyFill="1" applyBorder="1" applyAlignment="1">
      <alignment horizontal="left" vertical="center"/>
    </xf>
    <xf numFmtId="164" fontId="8" fillId="6" borderId="2" xfId="0" applyNumberFormat="1" applyFont="1" applyFill="1" applyBorder="1" applyAlignment="1">
      <alignment horizontal="right" vertical="center"/>
    </xf>
    <xf numFmtId="165" fontId="8" fillId="6" borderId="2" xfId="0" applyNumberFormat="1" applyFont="1" applyFill="1" applyBorder="1" applyAlignment="1">
      <alignment horizontal="right" vertical="center"/>
    </xf>
    <xf numFmtId="0" fontId="0" fillId="5" borderId="1" xfId="0" applyFill="1" applyBorder="1" applyAlignment="1">
      <alignment horizontal="left" vertical="center"/>
    </xf>
    <xf numFmtId="2" fontId="6" fillId="5" borderId="1" xfId="0" applyNumberFormat="1" applyFont="1" applyFill="1" applyBorder="1" applyAlignment="1">
      <alignment horizontal="right" vertical="center"/>
    </xf>
    <xf numFmtId="2" fontId="7" fillId="5" borderId="1" xfId="0" applyNumberFormat="1" applyFont="1" applyFill="1" applyBorder="1" applyAlignment="1">
      <alignment horizontal="right" vertical="center"/>
    </xf>
    <xf numFmtId="0" fontId="9" fillId="7" borderId="1" xfId="0" applyFont="1" applyFill="1" applyBorder="1" applyAlignment="1">
      <alignment horizontal="left" vertical="center"/>
    </xf>
    <xf numFmtId="0" fontId="9" fillId="7"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7" fillId="8" borderId="1" xfId="0" applyFont="1" applyFill="1" applyBorder="1"/>
    <xf numFmtId="164" fontId="7" fillId="8" borderId="1" xfId="0" applyNumberFormat="1" applyFont="1" applyFill="1" applyBorder="1"/>
    <xf numFmtId="0" fontId="10" fillId="4"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166" fontId="12" fillId="4" borderId="1" xfId="0" applyNumberFormat="1" applyFont="1" applyFill="1" applyBorder="1" applyAlignment="1">
      <alignment horizontal="center" vertical="center" wrapText="1"/>
    </xf>
    <xf numFmtId="166" fontId="7" fillId="4" borderId="1" xfId="0" applyNumberFormat="1" applyFont="1" applyFill="1" applyBorder="1" applyAlignment="1">
      <alignment horizontal="center" vertical="center" wrapText="1"/>
    </xf>
    <xf numFmtId="0" fontId="7" fillId="4"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166" fontId="12" fillId="5" borderId="1" xfId="0" applyNumberFormat="1" applyFont="1" applyFill="1" applyBorder="1" applyAlignment="1">
      <alignment horizontal="center" vertical="center" wrapText="1"/>
    </xf>
    <xf numFmtId="166" fontId="7"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6" borderId="2" xfId="0" applyFont="1" applyFill="1" applyBorder="1" applyAlignment="1">
      <alignment horizontal="left" vertical="center" wrapText="1"/>
    </xf>
    <xf numFmtId="0" fontId="8" fillId="6" borderId="2" xfId="0" applyFont="1" applyFill="1" applyBorder="1"/>
    <xf numFmtId="0" fontId="0" fillId="5" borderId="1" xfId="0" applyFill="1" applyBorder="1" applyAlignment="1">
      <alignment horizontal="left" vertical="center" wrapText="1"/>
    </xf>
    <xf numFmtId="164" fontId="12" fillId="5" borderId="1" xfId="0" applyNumberFormat="1" applyFont="1" applyFill="1" applyBorder="1" applyAlignment="1">
      <alignment horizontal="right" vertical="center"/>
    </xf>
    <xf numFmtId="0" fontId="0" fillId="4" borderId="1" xfId="0" applyFill="1" applyBorder="1" applyAlignment="1">
      <alignment horizontal="left" vertical="center" wrapText="1"/>
    </xf>
    <xf numFmtId="164" fontId="12" fillId="4" borderId="1" xfId="0" applyNumberFormat="1" applyFont="1" applyFill="1" applyBorder="1" applyAlignment="1">
      <alignment horizontal="right" vertical="center"/>
    </xf>
    <xf numFmtId="164" fontId="8" fillId="6" borderId="2" xfId="0" applyNumberFormat="1" applyFont="1" applyFill="1" applyBorder="1"/>
    <xf numFmtId="0" fontId="10" fillId="4" borderId="1"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9" fillId="7" borderId="1" xfId="0" applyFont="1" applyFill="1" applyBorder="1" applyAlignment="1">
      <alignment horizontal="center" vertical="center" wrapText="1"/>
    </xf>
    <xf numFmtId="0" fontId="16" fillId="3" borderId="1" xfId="0" applyFont="1" applyFill="1" applyBorder="1" applyAlignment="1">
      <alignment horizontal="left" vertical="top" wrapText="1"/>
    </xf>
    <xf numFmtId="0" fontId="17" fillId="5" borderId="1" xfId="0" applyFont="1" applyFill="1" applyBorder="1" applyAlignment="1">
      <alignment horizontal="left" vertical="top" wrapText="1"/>
    </xf>
    <xf numFmtId="0" fontId="16" fillId="6" borderId="1" xfId="0" applyFont="1" applyFill="1" applyBorder="1" applyAlignment="1">
      <alignment horizontal="left" vertical="top" wrapText="1"/>
    </xf>
    <xf numFmtId="0" fontId="9" fillId="2" borderId="1" xfId="0" applyFont="1" applyFill="1" applyBorder="1" applyAlignment="1">
      <alignment horizontal="center" vertical="center" wrapText="1"/>
    </xf>
    <xf numFmtId="0" fontId="17" fillId="3" borderId="1" xfId="0" applyFont="1" applyFill="1" applyBorder="1" applyAlignment="1">
      <alignment horizontal="left" vertical="top" wrapText="1"/>
    </xf>
    <xf numFmtId="0" fontId="11" fillId="8" borderId="1" xfId="0" applyFont="1" applyFill="1" applyBorder="1" applyAlignment="1">
      <alignment horizontal="left" vertical="top" wrapText="1"/>
    </xf>
    <xf numFmtId="0" fontId="11" fillId="11" borderId="1" xfId="0" applyFont="1" applyFill="1" applyBorder="1" applyAlignment="1">
      <alignment horizontal="left" vertical="top" wrapText="1"/>
    </xf>
    <xf numFmtId="0" fontId="14" fillId="11" borderId="3" xfId="0" applyFont="1" applyFill="1" applyBorder="1" applyAlignment="1">
      <alignment horizontal="left" vertical="top" wrapText="1"/>
    </xf>
    <xf numFmtId="0" fontId="18" fillId="2" borderId="0" xfId="0" applyFont="1" applyFill="1" applyAlignment="1">
      <alignment horizontal="center" vertical="center" wrapText="1"/>
    </xf>
    <xf numFmtId="0" fontId="13" fillId="5" borderId="1" xfId="0" applyFont="1" applyFill="1" applyBorder="1" applyAlignment="1">
      <alignment horizontal="left" vertical="center"/>
    </xf>
    <xf numFmtId="0" fontId="13" fillId="4" borderId="1" xfId="0" applyFont="1" applyFill="1" applyBorder="1" applyAlignment="1">
      <alignment horizontal="left" vertical="center"/>
    </xf>
    <xf numFmtId="3" fontId="10" fillId="10" borderId="1" xfId="0" applyNumberFormat="1" applyFont="1" applyFill="1" applyBorder="1" applyAlignment="1">
      <alignment horizontal="center" vertical="center" wrapText="1"/>
    </xf>
    <xf numFmtId="3" fontId="10" fillId="9" borderId="1" xfId="0" applyNumberFormat="1" applyFont="1" applyFill="1" applyBorder="1" applyAlignment="1">
      <alignment horizontal="center" vertical="center" wrapText="1"/>
    </xf>
    <xf numFmtId="10" fontId="10" fillId="10" borderId="1" xfId="0" applyNumberFormat="1" applyFont="1" applyFill="1" applyBorder="1" applyAlignment="1">
      <alignment horizontal="center" vertical="center" wrapText="1"/>
    </xf>
    <xf numFmtId="10" fontId="10" fillId="9" borderId="1" xfId="0" applyNumberFormat="1" applyFont="1" applyFill="1" applyBorder="1" applyAlignment="1">
      <alignment horizontal="center" vertical="center" wrapText="1"/>
    </xf>
    <xf numFmtId="168" fontId="1" fillId="0" borderId="0" xfId="1" applyNumberFormat="1"/>
    <xf numFmtId="0" fontId="19" fillId="0" borderId="0" xfId="0" applyFont="1"/>
  </cellXfs>
  <cellStyles count="2">
    <cellStyle name="Comma" xfId="1" builtinId="3"/>
    <cellStyle name="Normal" xfId="0" builtinId="0"/>
  </cellStyles>
  <dxfs count="0"/>
  <tableStyles count="1" defaultTableStyle="TableStyleMedium2" defaultPivotStyle="PivotStyleLight16">
    <tableStyle name="Invisible" pivot="0" table="0" count="0" xr9:uid="{26F585BC-49E0-419D-B527-0241681CE7D3}"/>
  </tableStyles>
  <colors>
    <indexedColors>
      <rgbColor rgb="FF000000"/>
      <rgbColor rgb="FFFFFFFF"/>
      <rgbColor rgb="FFFF0000"/>
      <rgbColor rgb="FF00FF00"/>
      <rgbColor rgb="FF0000FF"/>
      <rgbColor rgb="FFFFFF00"/>
      <rgbColor rgb="FFFF00FF"/>
      <rgbColor rgb="FF00FFFF"/>
      <rgbColor rgb="FF800000"/>
      <rgbColor rgb="FF006400"/>
      <rgbColor rgb="FF000080"/>
      <rgbColor rgb="FF808000"/>
      <rgbColor rgb="FF800080"/>
      <rgbColor rgb="FF008080"/>
      <rgbColor rgb="FFCCCCCC"/>
      <rgbColor rgb="FF808080"/>
      <rgbColor rgb="FF9999FF"/>
      <rgbColor rgb="FF993366"/>
      <rgbColor rgb="FFFFF2CC"/>
      <rgbColor rgb="FFD5E8F0"/>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9F9F9"/>
      <rgbColor rgb="FF99CCFF"/>
      <rgbColor rgb="FFFF99CC"/>
      <rgbColor rgb="FFCC99FF"/>
      <rgbColor rgb="FFFCE4D6"/>
      <rgbColor rgb="FF2E75B6"/>
      <rgbColor rgb="FF33CCCC"/>
      <rgbColor rgb="FF99CC00"/>
      <rgbColor rgb="FFFFCC00"/>
      <rgbColor rgb="FFFF9900"/>
      <rgbColor rgb="FFFF6600"/>
      <rgbColor rgb="FF666666"/>
      <rgbColor rgb="FF969696"/>
      <rgbColor rgb="FF1B3F6E"/>
      <rgbColor rgb="FF339966"/>
      <rgbColor rgb="FF003300"/>
      <rgbColor rgb="FF1A1A1A"/>
      <rgbColor rgb="FF993300"/>
      <rgbColor rgb="FF993366"/>
      <rgbColor rgb="FF555555"/>
      <rgbColor rgb="FF444444"/>
      <rgbColor rgb="00003366"/>
      <rgbColor rgb="00339966"/>
      <rgbColor rgb="00003300"/>
      <rgbColor rgb="00333300"/>
      <rgbColor rgb="00993300"/>
      <rgbColor rgb="00993366"/>
      <rgbColor rgb="00333399"/>
      <rgbColor rgb="00333333"/>
    </indexedColors>
    <mruColors>
      <color rgb="FFFF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Operating income vs cost</a:t>
            </a:r>
          </a:p>
        </c:rich>
      </c:tx>
      <c:layout>
        <c:manualLayout>
          <c:xMode val="edge"/>
          <c:yMode val="edge"/>
          <c:x val="0.4122707786526684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lotArea>
      <c:layout/>
      <c:lineChart>
        <c:grouping val="standard"/>
        <c:varyColors val="0"/>
        <c:ser>
          <c:idx val="0"/>
          <c:order val="0"/>
          <c:tx>
            <c:strRef>
              <c:f>Sheet1!$A$28</c:f>
              <c:strCache>
                <c:ptCount val="1"/>
                <c:pt idx="0">
                  <c:v>Operating income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Sheet1!$B$27:$C$27</c:f>
              <c:strCache>
                <c:ptCount val="2"/>
                <c:pt idx="0">
                  <c:v>Q1 2025 </c:v>
                </c:pt>
                <c:pt idx="1">
                  <c:v>Q1 2026 </c:v>
                </c:pt>
              </c:strCache>
            </c:strRef>
          </c:cat>
          <c:val>
            <c:numRef>
              <c:f>Sheet1!$B$28:$C$28</c:f>
              <c:numCache>
                <c:formatCode>_-* #,##0_-;\-* #,##0_-;_-* "-"??_-;_-@_-</c:formatCode>
                <c:ptCount val="2"/>
                <c:pt idx="0">
                  <c:v>347494</c:v>
                </c:pt>
                <c:pt idx="1">
                  <c:v>275515</c:v>
                </c:pt>
              </c:numCache>
            </c:numRef>
          </c:val>
          <c:smooth val="0"/>
          <c:extLst>
            <c:ext xmlns:c16="http://schemas.microsoft.com/office/drawing/2014/chart" uri="{C3380CC4-5D6E-409C-BE32-E72D297353CC}">
              <c16:uniqueId val="{00000000-FF95-483F-B36D-54ABBEDD0C72}"/>
            </c:ext>
          </c:extLst>
        </c:ser>
        <c:ser>
          <c:idx val="1"/>
          <c:order val="1"/>
          <c:tx>
            <c:strRef>
              <c:f>Sheet1!$A$29</c:f>
              <c:strCache>
                <c:ptCount val="1"/>
                <c:pt idx="0">
                  <c:v>Total operating expenses</c:v>
                </c:pt>
              </c:strCache>
            </c:strRef>
          </c:tx>
          <c:spPr>
            <a:ln w="28575" cap="rnd">
              <a:solidFill>
                <a:schemeClr val="accent2"/>
              </a:solidFill>
              <a:round/>
            </a:ln>
            <a:effectLst/>
          </c:spPr>
          <c:marker>
            <c:symbol val="none"/>
          </c:marker>
          <c:dPt>
            <c:idx val="1"/>
            <c:marker>
              <c:symbol val="circle"/>
              <c:size val="8"/>
              <c:spPr>
                <a:solidFill>
                  <a:schemeClr val="bg1"/>
                </a:solidFill>
                <a:ln w="9525">
                  <a:solidFill>
                    <a:schemeClr val="accent2"/>
                  </a:solidFill>
                </a:ln>
                <a:effectLst/>
              </c:spPr>
            </c:marker>
            <c:bubble3D val="0"/>
            <c:extLst>
              <c:ext xmlns:c16="http://schemas.microsoft.com/office/drawing/2014/chart" uri="{C3380CC4-5D6E-409C-BE32-E72D297353CC}">
                <c16:uniqueId val="{00000002-FF95-483F-B36D-54ABBEDD0C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Sheet1!$B$27:$C$27</c:f>
              <c:strCache>
                <c:ptCount val="2"/>
                <c:pt idx="0">
                  <c:v>Q1 2025 </c:v>
                </c:pt>
                <c:pt idx="1">
                  <c:v>Q1 2026 </c:v>
                </c:pt>
              </c:strCache>
            </c:strRef>
          </c:cat>
          <c:val>
            <c:numRef>
              <c:f>Sheet1!$B$29:$C$29</c:f>
              <c:numCache>
                <c:formatCode>_-* #,##0_-;\-* #,##0_-;_-* "-"??_-;_-@_-</c:formatCode>
                <c:ptCount val="2"/>
                <c:pt idx="0">
                  <c:v>163825</c:v>
                </c:pt>
                <c:pt idx="1">
                  <c:v>176025</c:v>
                </c:pt>
              </c:numCache>
            </c:numRef>
          </c:val>
          <c:smooth val="0"/>
          <c:extLst>
            <c:ext xmlns:c16="http://schemas.microsoft.com/office/drawing/2014/chart" uri="{C3380CC4-5D6E-409C-BE32-E72D297353CC}">
              <c16:uniqueId val="{00000001-FF95-483F-B36D-54ABBEDD0C72}"/>
            </c:ext>
          </c:extLst>
        </c:ser>
        <c:dLbls>
          <c:showLegendKey val="0"/>
          <c:showVal val="0"/>
          <c:showCatName val="0"/>
          <c:showSerName val="0"/>
          <c:showPercent val="0"/>
          <c:showBubbleSize val="0"/>
        </c:dLbls>
        <c:smooth val="0"/>
        <c:axId val="2083193151"/>
        <c:axId val="2083182591"/>
      </c:lineChart>
      <c:catAx>
        <c:axId val="208319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083182591"/>
        <c:crosses val="autoZero"/>
        <c:auto val="1"/>
        <c:lblAlgn val="ctr"/>
        <c:lblOffset val="100"/>
        <c:noMultiLvlLbl val="0"/>
      </c:catAx>
      <c:valAx>
        <c:axId val="2083182591"/>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083193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vertOverflow="overflow" horzOverflow="overflow" wrap="square" lIns="0" tIns="0" rIns="0" bIns="0"/>
          <a:lstStyle/>
          <a:p>
            <a:pPr algn="ctr" rtl="0">
              <a:defRPr sz="1400" b="1" i="0">
                <a:solidFill>
                  <a:srgbClr val="595959"/>
                </a:solidFill>
                <a:latin typeface="Calibri" panose="020F0502020204030204" pitchFamily="34" charset="0"/>
                <a:ea typeface="Calibri" panose="020F0502020204030204" pitchFamily="34" charset="0"/>
                <a:cs typeface="Calibri" panose="020F0502020204030204" pitchFamily="34" charset="0"/>
              </a:defRPr>
            </a:pPr>
            <a:r>
              <a:rPr lang="en-US" b="1"/>
              <a:t>Profit Bridge: H</a:t>
            </a:r>
            <a:r>
              <a:rPr lang="en-US" sz="1400" b="0" i="0" u="none" strike="noStrike" baseline="0">
                <a:solidFill>
                  <a:srgbClr val="000000">
                    <a:lumMod val="65000"/>
                    <a:lumOff val="35000"/>
                  </a:srgbClr>
                </a:solidFill>
                <a:effectLst/>
                <a:latin typeface="Calibri"/>
                <a:ea typeface="Calibri" panose="020F0502020204030204" pitchFamily="34" charset="0"/>
                <a:cs typeface="Calibri" panose="020F0502020204030204" pitchFamily="34" charset="0"/>
              </a:rPr>
              <a:t>ow profit before tax declined from GH¢ 212,611k (2025) to GH¢ 78,323k (2026)</a:t>
            </a:r>
            <a:endParaRPr lang="en-US" b="1"/>
          </a:p>
        </cx:rich>
      </cx:tx>
    </cx:title>
    <cx:plotArea>
      <cx:plotAreaRegion>
        <cx:series layoutId="waterfall" uniqueId="{041125D9-05CA-40C8-A77B-8949D23DA8C4}">
          <cx:tx>
            <cx:txData>
              <cx:f>_xlchart.v1.1</cx:f>
              <cx:v>GH¢ Impact on PBT</cx:v>
            </cx:txData>
          </cx:tx>
          <cx:dataPt idx="0">
            <cx:spPr>
              <a:solidFill>
                <a:srgbClr val="FFFFFF">
                  <a:lumMod val="85000"/>
                </a:srgbClr>
              </a:solidFill>
            </cx:spPr>
          </cx:dataPt>
          <cx:dataPt idx="1">
            <cx:spPr>
              <a:solidFill>
                <a:srgbClr val="FF0000"/>
              </a:solidFill>
            </cx:spPr>
          </cx:dataPt>
          <cx:dataPt idx="2">
            <cx:spPr>
              <a:solidFill>
                <a:srgbClr val="00B050"/>
              </a:solidFill>
            </cx:spPr>
          </cx:dataPt>
          <cx:dataPt idx="3">
            <cx:spPr>
              <a:solidFill>
                <a:srgbClr val="00B050"/>
              </a:solidFill>
            </cx:spPr>
          </cx:dataPt>
          <cx:dataPt idx="4">
            <cx:spPr>
              <a:solidFill>
                <a:srgbClr val="FF0000"/>
              </a:solidFill>
            </cx:spPr>
          </cx:dataPt>
          <cx:dataPt idx="5">
            <cx:spPr>
              <a:solidFill>
                <a:srgbClr val="FF0000"/>
              </a:solidFill>
            </cx:spPr>
          </cx:dataPt>
          <cx:dataPt idx="6">
            <cx:spPr>
              <a:solidFill>
                <a:srgbClr val="FF0000"/>
              </a:solidFill>
            </cx:spPr>
          </cx:dataPt>
          <cx:dataPt idx="7">
            <cx:spPr>
              <a:solidFill>
                <a:srgbClr val="00B050"/>
              </a:solidFill>
            </cx:spPr>
          </cx:dataPt>
          <cx:dataPt idx="8">
            <cx:spPr>
              <a:solidFill>
                <a:srgbClr val="00B050"/>
              </a:solidFill>
            </cx:spPr>
          </cx:dataPt>
          <cx:dataLabels pos="outEnd">
            <cx:txPr>
              <a:bodyPr spcFirstLastPara="1" vertOverflow="ellipsis" horzOverflow="overflow" wrap="square" lIns="0" tIns="0" rIns="0" bIns="0" anchor="ctr" anchorCtr="1"/>
              <a:lstStyle/>
              <a:p>
                <a:pPr algn="ctr" rtl="0">
                  <a:defRPr b="0">
                    <a:latin typeface="Source Sans Pro" panose="020B0503030403020204" pitchFamily="34" charset="0"/>
                    <a:ea typeface="Source Sans Pro" panose="020B0503030403020204" pitchFamily="34" charset="0"/>
                    <a:cs typeface="Source Sans Pro" panose="020B0503030403020204" pitchFamily="34" charset="0"/>
                  </a:defRPr>
                </a:pPr>
                <a:endParaRPr lang="en-US" sz="900" b="0" i="0" u="none" strike="noStrike" baseline="0">
                  <a:solidFill>
                    <a:srgbClr val="000000">
                      <a:lumMod val="65000"/>
                      <a:lumOff val="35000"/>
                    </a:srgbClr>
                  </a:solidFill>
                  <a:latin typeface="Source Sans Pro" panose="020B0503030403020204" pitchFamily="34" charset="0"/>
                  <a:ea typeface="Source Sans Pro" panose="020B0503030403020204" pitchFamily="34" charset="0"/>
                </a:endParaRPr>
              </a:p>
            </cx:txPr>
            <cx:visibility seriesName="0" categoryName="0" value="1"/>
          </cx:dataLabels>
          <cx:dataId val="0"/>
          <cx:layoutPr>
            <cx:subtotals>
              <cx:idx val="8"/>
            </cx:subtotals>
          </cx:layoutPr>
        </cx:series>
      </cx:plotAreaRegion>
      <cx:axis id="0">
        <cx:catScaling gapWidth="0.5"/>
        <cx:tickLabels/>
        <cx:txPr>
          <a:bodyPr vertOverflow="overflow" horzOverflow="overflow" wrap="square" lIns="0" tIns="0" rIns="0" bIns="0"/>
          <a:lstStyle/>
          <a:p>
            <a:pPr algn="ctr" rtl="0">
              <a:defRPr sz="9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GH" b="0"/>
          </a:p>
        </cx:txPr>
      </cx:axis>
      <cx:axis id="1">
        <cx:valScaling/>
        <cx:tickLabels/>
        <cx:txPr>
          <a:bodyPr vertOverflow="overflow" horzOverflow="overflow" wrap="square" lIns="0" tIns="0" rIns="0" bIns="0"/>
          <a:lstStyle/>
          <a:p>
            <a:pPr algn="ctr" rtl="0">
              <a:defRPr sz="9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GH" b="0"/>
          </a:p>
        </cx:txPr>
      </cx:axis>
    </cx:plotArea>
    <cx:legend pos="t" align="ctr" overlay="0">
      <cx:txPr>
        <a:bodyPr vertOverflow="overflow" horzOverflow="overflow" wrap="square" lIns="0" tIns="0" rIns="0" bIns="0"/>
        <a:lstStyle/>
        <a:p>
          <a:pPr algn="ctr" rtl="0">
            <a:defRPr sz="9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GH" b="0"/>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88900</xdr:rowOff>
    </xdr:from>
    <xdr:to>
      <xdr:col>7</xdr:col>
      <xdr:colOff>596900</xdr:colOff>
      <xdr:row>22</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DC657FD-2EB9-ED73-7578-E132EAAD69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88900"/>
              <a:ext cx="7918450" cy="3981450"/>
            </a:xfrm>
            <a:prstGeom prst="rect">
              <a:avLst/>
            </a:prstGeom>
            <a:solidFill>
              <a:prstClr val="white"/>
            </a:solidFill>
            <a:ln w="1">
              <a:solidFill>
                <a:prstClr val="green"/>
              </a:solidFill>
            </a:ln>
          </xdr:spPr>
          <xdr:txBody>
            <a:bodyPr vertOverflow="clip" horzOverflow="clip"/>
            <a:lstStyle/>
            <a:p>
              <a:r>
                <a:rPr lang="en-G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2647950</xdr:colOff>
      <xdr:row>25</xdr:row>
      <xdr:rowOff>9525</xdr:rowOff>
    </xdr:from>
    <xdr:to>
      <xdr:col>6</xdr:col>
      <xdr:colOff>485775</xdr:colOff>
      <xdr:row>39</xdr:row>
      <xdr:rowOff>31750</xdr:rowOff>
    </xdr:to>
    <xdr:graphicFrame macro="">
      <xdr:nvGraphicFramePr>
        <xdr:cNvPr id="3" name="Chart 2">
          <a:extLst>
            <a:ext uri="{FF2B5EF4-FFF2-40B4-BE49-F238E27FC236}">
              <a16:creationId xmlns:a16="http://schemas.microsoft.com/office/drawing/2014/main" id="{933FE26B-760E-3996-CE84-95F8AB37C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
  <sheetViews>
    <sheetView zoomScaleNormal="100" workbookViewId="0">
      <pane xSplit="1" ySplit="4" topLeftCell="B14" activePane="bottomRight" state="frozen"/>
      <selection pane="topRight" activeCell="B1" sqref="B1"/>
      <selection pane="bottomLeft" activeCell="A5" sqref="A5"/>
      <selection pane="bottomRight" activeCell="B4" sqref="B4:C4"/>
    </sheetView>
  </sheetViews>
  <sheetFormatPr defaultColWidth="8.6328125" defaultRowHeight="14.5" x14ac:dyDescent="0.35"/>
  <cols>
    <col min="1" max="1" width="46" customWidth="1"/>
    <col min="2" max="4" width="18" customWidth="1"/>
    <col min="5" max="5" width="14" customWidth="1"/>
  </cols>
  <sheetData>
    <row r="1" spans="1:5" ht="27.75" customHeight="1" x14ac:dyDescent="0.35">
      <c r="A1" s="14" t="s">
        <v>0</v>
      </c>
      <c r="B1" s="14"/>
      <c r="C1" s="14"/>
      <c r="D1" s="14"/>
      <c r="E1" s="14"/>
    </row>
    <row r="2" spans="1:5" ht="18" customHeight="1" x14ac:dyDescent="0.35">
      <c r="A2" s="13" t="s">
        <v>1</v>
      </c>
      <c r="B2" s="13"/>
      <c r="C2" s="13"/>
      <c r="D2" s="13"/>
      <c r="E2" s="13"/>
    </row>
    <row r="3" spans="1:5" ht="15.75" customHeight="1" x14ac:dyDescent="0.35">
      <c r="A3" s="12" t="s">
        <v>2</v>
      </c>
      <c r="B3" s="12"/>
      <c r="C3" s="12"/>
      <c r="D3" s="12"/>
      <c r="E3" s="12"/>
    </row>
    <row r="4" spans="1:5" ht="21.75" customHeight="1" x14ac:dyDescent="0.35">
      <c r="A4" s="15" t="s">
        <v>3</v>
      </c>
      <c r="B4" s="15" t="s">
        <v>4</v>
      </c>
      <c r="C4" s="15" t="s">
        <v>5</v>
      </c>
      <c r="D4" s="15" t="s">
        <v>6</v>
      </c>
      <c r="E4" s="15" t="s">
        <v>7</v>
      </c>
    </row>
    <row r="5" spans="1:5" ht="15.75" customHeight="1" x14ac:dyDescent="0.35">
      <c r="A5" s="16" t="s">
        <v>8</v>
      </c>
      <c r="B5" s="17">
        <v>278778</v>
      </c>
      <c r="C5" s="17">
        <v>365242</v>
      </c>
      <c r="D5" s="18">
        <f>B5-C5</f>
        <v>-86464</v>
      </c>
      <c r="E5" s="19">
        <f>IF(C5&lt;&gt;0,(B5-C5)/ABS(C5),"N/A")</f>
        <v>-0.23673071552559674</v>
      </c>
    </row>
    <row r="6" spans="1:5" ht="15.75" customHeight="1" x14ac:dyDescent="0.35">
      <c r="A6" s="20" t="s">
        <v>9</v>
      </c>
      <c r="B6" s="21">
        <v>-53968</v>
      </c>
      <c r="C6" s="21">
        <v>-60226</v>
      </c>
      <c r="D6" s="22">
        <f>B6-C6</f>
        <v>6258</v>
      </c>
      <c r="E6" s="23">
        <f>IF(C6&lt;&gt;0,(B6-C6)/ABS(C6),"N/A")</f>
        <v>0.1039086108989473</v>
      </c>
    </row>
    <row r="7" spans="1:5" ht="18" customHeight="1" x14ac:dyDescent="0.35">
      <c r="A7" s="24" t="s">
        <v>10</v>
      </c>
      <c r="B7" s="25">
        <v>224810</v>
      </c>
      <c r="C7" s="25">
        <v>305016</v>
      </c>
      <c r="D7" s="25">
        <f>B7-C7</f>
        <v>-80206</v>
      </c>
      <c r="E7" s="26">
        <f>IF(C7&lt;&gt;0,(B7-C7)/ABS(C7),"N/A")</f>
        <v>-0.26295669735358146</v>
      </c>
    </row>
    <row r="8" spans="1:5" ht="7.5" customHeight="1" x14ac:dyDescent="0.35"/>
    <row r="9" spans="1:5" ht="15.75" customHeight="1" x14ac:dyDescent="0.35">
      <c r="A9" s="16" t="s">
        <v>11</v>
      </c>
      <c r="B9" s="17">
        <v>41053</v>
      </c>
      <c r="C9" s="17">
        <v>42392</v>
      </c>
      <c r="D9" s="18">
        <f>B9-C9</f>
        <v>-1339</v>
      </c>
      <c r="E9" s="19">
        <f>IF(C9&lt;&gt;0,(B9-C9)/ABS(C9),"N/A")</f>
        <v>-3.158614832987356E-2</v>
      </c>
    </row>
    <row r="10" spans="1:5" ht="15.75" customHeight="1" x14ac:dyDescent="0.35">
      <c r="A10" s="20" t="s">
        <v>12</v>
      </c>
      <c r="B10" s="21">
        <v>-16229</v>
      </c>
      <c r="C10" s="21">
        <v>-18988</v>
      </c>
      <c r="D10" s="22">
        <f>B10-C10</f>
        <v>2759</v>
      </c>
      <c r="E10" s="23">
        <f>IF(C10&lt;&gt;0,(B10-C10)/ABS(C10),"N/A")</f>
        <v>0.14530229618706553</v>
      </c>
    </row>
    <row r="11" spans="1:5" ht="18" customHeight="1" x14ac:dyDescent="0.35">
      <c r="A11" s="24" t="s">
        <v>13</v>
      </c>
      <c r="B11" s="25">
        <v>24824</v>
      </c>
      <c r="C11" s="25">
        <v>23404</v>
      </c>
      <c r="D11" s="25">
        <f>B11-C11</f>
        <v>1420</v>
      </c>
      <c r="E11" s="26">
        <f>IF(C11&lt;&gt;0,(B11-C11)/ABS(C11),"N/A")</f>
        <v>6.0673389164245431E-2</v>
      </c>
    </row>
    <row r="12" spans="1:5" ht="7.5" customHeight="1" x14ac:dyDescent="0.35"/>
    <row r="13" spans="1:5" ht="15.75" customHeight="1" x14ac:dyDescent="0.35">
      <c r="A13" s="16" t="s">
        <v>14</v>
      </c>
      <c r="B13" s="17">
        <v>22064</v>
      </c>
      <c r="C13" s="17">
        <v>15914</v>
      </c>
      <c r="D13" s="18">
        <f>B13-C13</f>
        <v>6150</v>
      </c>
      <c r="E13" s="19">
        <f>IF(C13&lt;&gt;0,(B13-C13)/ABS(C13),"N/A")</f>
        <v>0.38645218047002639</v>
      </c>
    </row>
    <row r="14" spans="1:5" ht="15.75" customHeight="1" x14ac:dyDescent="0.35">
      <c r="A14" s="20" t="s">
        <v>15</v>
      </c>
      <c r="B14" s="21">
        <v>1698</v>
      </c>
      <c r="C14" s="21">
        <v>5358</v>
      </c>
      <c r="D14" s="22">
        <f>B14-C14</f>
        <v>-3660</v>
      </c>
      <c r="E14" s="23">
        <f>IF(C14&lt;&gt;0,(B14-C14)/ABS(C14),"N/A")</f>
        <v>-0.68309070548712203</v>
      </c>
    </row>
    <row r="15" spans="1:5" ht="15.75" customHeight="1" x14ac:dyDescent="0.35">
      <c r="A15" s="16" t="s">
        <v>16</v>
      </c>
      <c r="B15" s="17">
        <v>2119</v>
      </c>
      <c r="C15" s="17">
        <v>-2198</v>
      </c>
      <c r="D15" s="18">
        <f>B15-C15</f>
        <v>4317</v>
      </c>
      <c r="E15" s="19">
        <f>IF(C15&lt;&gt;0,(B15-C15)/ABS(C15),"N/A")</f>
        <v>1.9640582347588718</v>
      </c>
    </row>
    <row r="16" spans="1:5" ht="18" customHeight="1" x14ac:dyDescent="0.35">
      <c r="A16" s="24" t="s">
        <v>17</v>
      </c>
      <c r="B16" s="25">
        <v>25881</v>
      </c>
      <c r="C16" s="25">
        <v>19074</v>
      </c>
      <c r="D16" s="25">
        <f>B16-C16</f>
        <v>6807</v>
      </c>
      <c r="E16" s="26">
        <f>IF(C16&lt;&gt;0,(B16-C16)/ABS(C16),"N/A")</f>
        <v>0.35687323057565273</v>
      </c>
    </row>
    <row r="17" spans="1:5" ht="7.5" customHeight="1" x14ac:dyDescent="0.35"/>
    <row r="18" spans="1:5" ht="18" customHeight="1" x14ac:dyDescent="0.35">
      <c r="A18" s="24" t="s">
        <v>18</v>
      </c>
      <c r="B18" s="25">
        <v>275515</v>
      </c>
      <c r="C18" s="25">
        <v>347494</v>
      </c>
      <c r="D18" s="25">
        <f>B18-C18</f>
        <v>-71979</v>
      </c>
      <c r="E18" s="26">
        <f>IF(C18&lt;&gt;0,(B18-C18)/ABS(C18),"N/A")</f>
        <v>-0.20713738942255119</v>
      </c>
    </row>
    <row r="19" spans="1:5" ht="7.5" customHeight="1" x14ac:dyDescent="0.35"/>
    <row r="20" spans="1:5" ht="15.75" customHeight="1" x14ac:dyDescent="0.35">
      <c r="A20" s="20" t="s">
        <v>19</v>
      </c>
      <c r="B20" s="21">
        <v>-21167</v>
      </c>
      <c r="C20" s="21">
        <v>28942</v>
      </c>
      <c r="D20" s="22">
        <f>B20-C20</f>
        <v>-50109</v>
      </c>
      <c r="E20" s="23">
        <f>IF(C20&lt;&gt;0,(B20-C20)/ABS(C20),"N/A")</f>
        <v>-1.7313592702646672</v>
      </c>
    </row>
    <row r="21" spans="1:5" ht="18" customHeight="1" x14ac:dyDescent="0.35">
      <c r="A21" s="24" t="s">
        <v>20</v>
      </c>
      <c r="B21" s="25">
        <v>254348</v>
      </c>
      <c r="C21" s="25">
        <v>376436</v>
      </c>
      <c r="D21" s="25">
        <f>B21-C21</f>
        <v>-122088</v>
      </c>
      <c r="E21" s="26">
        <f>IF(C21&lt;&gt;0,(B21-C21)/ABS(C21),"N/A")</f>
        <v>-0.32432604745561</v>
      </c>
    </row>
    <row r="22" spans="1:5" ht="7.5" customHeight="1" x14ac:dyDescent="0.35"/>
    <row r="23" spans="1:5" ht="15.75" customHeight="1" x14ac:dyDescent="0.35">
      <c r="A23" s="16" t="s">
        <v>21</v>
      </c>
      <c r="B23" s="17">
        <v>-76451</v>
      </c>
      <c r="C23" s="17">
        <v>-72465</v>
      </c>
      <c r="D23" s="18">
        <f>B23-C23</f>
        <v>-3986</v>
      </c>
      <c r="E23" s="19">
        <f>IF(C23&lt;&gt;0,(B23-C23)/ABS(C23),"N/A")</f>
        <v>-5.5005864900296693E-2</v>
      </c>
    </row>
    <row r="24" spans="1:5" ht="15.75" customHeight="1" x14ac:dyDescent="0.35">
      <c r="A24" s="20" t="s">
        <v>22</v>
      </c>
      <c r="B24" s="21">
        <v>-38512</v>
      </c>
      <c r="C24" s="21">
        <v>-28758</v>
      </c>
      <c r="D24" s="22">
        <f>B24-C24</f>
        <v>-9754</v>
      </c>
      <c r="E24" s="23">
        <f>IF(C24&lt;&gt;0,(B24-C24)/ABS(C24),"N/A")</f>
        <v>-0.3391751860351902</v>
      </c>
    </row>
    <row r="25" spans="1:5" ht="15.75" customHeight="1" x14ac:dyDescent="0.35">
      <c r="A25" s="16" t="s">
        <v>23</v>
      </c>
      <c r="B25" s="17">
        <v>-61062</v>
      </c>
      <c r="C25" s="17">
        <v>-62602</v>
      </c>
      <c r="D25" s="18">
        <f>B25-C25</f>
        <v>1540</v>
      </c>
      <c r="E25" s="19">
        <f>IF(C25&lt;&gt;0,(B25-C25)/ABS(C25),"N/A")</f>
        <v>2.4599853039838984E-2</v>
      </c>
    </row>
    <row r="26" spans="1:5" ht="18" customHeight="1" x14ac:dyDescent="0.35">
      <c r="A26" s="24" t="s">
        <v>24</v>
      </c>
      <c r="B26" s="25">
        <v>-176025</v>
      </c>
      <c r="C26" s="25">
        <v>-163825</v>
      </c>
      <c r="D26" s="25">
        <f>B26-C26</f>
        <v>-12200</v>
      </c>
      <c r="E26" s="26">
        <f>IF(C26&lt;&gt;0,(B26-C26)/ABS(C26),"N/A")</f>
        <v>-7.4469708530444073E-2</v>
      </c>
    </row>
    <row r="27" spans="1:5" ht="7.5" customHeight="1" x14ac:dyDescent="0.35"/>
    <row r="28" spans="1:5" ht="18" customHeight="1" x14ac:dyDescent="0.35">
      <c r="A28" s="24" t="s">
        <v>25</v>
      </c>
      <c r="B28" s="25">
        <v>78323</v>
      </c>
      <c r="C28" s="25">
        <v>212611</v>
      </c>
      <c r="D28" s="25">
        <f>B28-C28</f>
        <v>-134288</v>
      </c>
      <c r="E28" s="26">
        <f>IF(C28&lt;&gt;0,(B28-C28)/ABS(C28),"N/A")</f>
        <v>-0.63161360418793011</v>
      </c>
    </row>
    <row r="29" spans="1:5" ht="15.75" customHeight="1" x14ac:dyDescent="0.35">
      <c r="A29" s="16" t="s">
        <v>26</v>
      </c>
      <c r="B29" s="17">
        <v>-26638</v>
      </c>
      <c r="C29" s="17">
        <v>-75994</v>
      </c>
      <c r="D29" s="18">
        <f>B29-C29</f>
        <v>49356</v>
      </c>
      <c r="E29" s="19">
        <f>IF(C29&lt;&gt;0,(B29-C29)/ABS(C29),"N/A")</f>
        <v>0.64947232676263911</v>
      </c>
    </row>
    <row r="30" spans="1:5" ht="18" customHeight="1" x14ac:dyDescent="0.35">
      <c r="A30" s="24" t="s">
        <v>27</v>
      </c>
      <c r="B30" s="25">
        <v>51685</v>
      </c>
      <c r="C30" s="25">
        <v>136617</v>
      </c>
      <c r="D30" s="25">
        <f>B30-C30</f>
        <v>-84932</v>
      </c>
      <c r="E30" s="26">
        <f>IF(C30&lt;&gt;0,(B30-C30)/ABS(C30),"N/A")</f>
        <v>-0.62167958599588635</v>
      </c>
    </row>
    <row r="31" spans="1:5" ht="7.5" customHeight="1" x14ac:dyDescent="0.35"/>
    <row r="32" spans="1:5" ht="15.75" customHeight="1" x14ac:dyDescent="0.35">
      <c r="A32" s="20" t="s">
        <v>28</v>
      </c>
      <c r="B32" s="21">
        <v>0</v>
      </c>
      <c r="C32" s="21">
        <v>0</v>
      </c>
      <c r="D32" s="22">
        <f>B32-C32</f>
        <v>0</v>
      </c>
      <c r="E32" s="23" t="str">
        <f>IF(C32&lt;&gt;0,(B32-C32)/ABS(C32),"N/A")</f>
        <v>N/A</v>
      </c>
    </row>
    <row r="33" spans="1:5" ht="18" customHeight="1" x14ac:dyDescent="0.35">
      <c r="A33" s="24" t="s">
        <v>29</v>
      </c>
      <c r="B33" s="25">
        <v>51685</v>
      </c>
      <c r="C33" s="25">
        <v>136617</v>
      </c>
      <c r="D33" s="25">
        <f>B33-C33</f>
        <v>-84932</v>
      </c>
      <c r="E33" s="26">
        <f>IF(C33&lt;&gt;0,(B33-C33)/ABS(C33),"N/A")</f>
        <v>-0.62167958599588635</v>
      </c>
    </row>
    <row r="34" spans="1:5" ht="7.5" customHeight="1" x14ac:dyDescent="0.35"/>
    <row r="35" spans="1:5" ht="15.75" customHeight="1" x14ac:dyDescent="0.35">
      <c r="A35" s="27" t="s">
        <v>30</v>
      </c>
      <c r="B35" s="28">
        <v>0.28999999999999998</v>
      </c>
      <c r="C35" s="28">
        <v>0.77</v>
      </c>
      <c r="D35" s="29">
        <f>B35-C35</f>
        <v>-0.48000000000000004</v>
      </c>
      <c r="E35" s="23">
        <f>(B35-C35)/ABS(C35)</f>
        <v>-0.62337662337662336</v>
      </c>
    </row>
  </sheetData>
  <mergeCells count="3">
    <mergeCell ref="A1:E1"/>
    <mergeCell ref="A2:E2"/>
    <mergeCell ref="A3:E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F72E0-D7CE-4CB6-B4D8-786E0E446C67}">
  <dimension ref="A1:C29"/>
  <sheetViews>
    <sheetView showGridLines="0" tabSelected="1" topLeftCell="A23" workbookViewId="0">
      <selection activeCell="I33" sqref="I33"/>
    </sheetView>
  </sheetViews>
  <sheetFormatPr defaultRowHeight="14.5" x14ac:dyDescent="0.35"/>
  <cols>
    <col min="1" max="1" width="44.36328125" bestFit="1" customWidth="1"/>
    <col min="2" max="2" width="16.90625" bestFit="1" customWidth="1"/>
    <col min="3" max="3" width="11.1796875" bestFit="1" customWidth="1"/>
  </cols>
  <sheetData>
    <row r="1" spans="1:2" x14ac:dyDescent="0.35">
      <c r="A1" s="71" t="s">
        <v>217</v>
      </c>
    </row>
    <row r="2" spans="1:2" x14ac:dyDescent="0.35">
      <c r="A2" t="s">
        <v>96</v>
      </c>
      <c r="B2" t="s">
        <v>97</v>
      </c>
    </row>
    <row r="3" spans="1:2" x14ac:dyDescent="0.35">
      <c r="A3" t="s">
        <v>99</v>
      </c>
      <c r="B3" s="70">
        <v>212611</v>
      </c>
    </row>
    <row r="4" spans="1:2" x14ac:dyDescent="0.35">
      <c r="A4" t="s">
        <v>209</v>
      </c>
      <c r="B4" s="70">
        <v>-80206</v>
      </c>
    </row>
    <row r="5" spans="1:2" x14ac:dyDescent="0.35">
      <c r="A5" t="s">
        <v>210</v>
      </c>
      <c r="B5" s="70">
        <v>1420</v>
      </c>
    </row>
    <row r="6" spans="1:2" x14ac:dyDescent="0.35">
      <c r="A6" t="s">
        <v>211</v>
      </c>
      <c r="B6" s="70">
        <v>6807</v>
      </c>
    </row>
    <row r="7" spans="1:2" x14ac:dyDescent="0.35">
      <c r="A7" t="s">
        <v>212</v>
      </c>
      <c r="B7" s="70">
        <v>-50109</v>
      </c>
    </row>
    <row r="8" spans="1:2" x14ac:dyDescent="0.35">
      <c r="A8" t="s">
        <v>213</v>
      </c>
      <c r="B8" s="70">
        <v>-3986</v>
      </c>
    </row>
    <row r="9" spans="1:2" x14ac:dyDescent="0.35">
      <c r="A9" t="s">
        <v>214</v>
      </c>
      <c r="B9" s="70">
        <v>-9754</v>
      </c>
    </row>
    <row r="10" spans="1:2" x14ac:dyDescent="0.35">
      <c r="A10" t="s">
        <v>215</v>
      </c>
      <c r="B10" s="70">
        <v>1540</v>
      </c>
    </row>
    <row r="11" spans="1:2" x14ac:dyDescent="0.35">
      <c r="A11" t="s">
        <v>216</v>
      </c>
      <c r="B11" s="70">
        <f>SUM(B3:B10)</f>
        <v>78323</v>
      </c>
    </row>
    <row r="27" spans="1:3" x14ac:dyDescent="0.35">
      <c r="B27" t="s">
        <v>219</v>
      </c>
      <c r="C27" t="s">
        <v>218</v>
      </c>
    </row>
    <row r="28" spans="1:3" x14ac:dyDescent="0.35">
      <c r="A28" t="s">
        <v>18</v>
      </c>
      <c r="B28" s="70">
        <v>347494</v>
      </c>
      <c r="C28" s="70">
        <v>275515</v>
      </c>
    </row>
    <row r="29" spans="1:3" x14ac:dyDescent="0.35">
      <c r="A29" t="s">
        <v>24</v>
      </c>
      <c r="B29" s="70">
        <v>163825</v>
      </c>
      <c r="C29" s="70">
        <v>176025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zoomScaleNormal="100" workbookViewId="0">
      <pane xSplit="1" ySplit="4" topLeftCell="B61" activePane="bottomRight" state="frozen"/>
      <selection pane="topRight" activeCell="B1" sqref="B1"/>
      <selection pane="bottomLeft" activeCell="A5" sqref="A5"/>
      <selection pane="bottomRight" sqref="A1:E1"/>
    </sheetView>
  </sheetViews>
  <sheetFormatPr defaultColWidth="8.6328125" defaultRowHeight="14.5" x14ac:dyDescent="0.35"/>
  <cols>
    <col min="1" max="1" width="46" customWidth="1"/>
    <col min="2" max="4" width="18" customWidth="1"/>
    <col min="5" max="5" width="14" customWidth="1"/>
  </cols>
  <sheetData>
    <row r="1" spans="1:5" ht="27.75" customHeight="1" x14ac:dyDescent="0.35">
      <c r="A1" s="14" t="s">
        <v>31</v>
      </c>
      <c r="B1" s="14"/>
      <c r="C1" s="14"/>
      <c r="D1" s="14"/>
      <c r="E1" s="14"/>
    </row>
    <row r="2" spans="1:5" ht="18" customHeight="1" x14ac:dyDescent="0.35">
      <c r="A2" s="13" t="s">
        <v>32</v>
      </c>
      <c r="B2" s="13"/>
      <c r="C2" s="13"/>
      <c r="D2" s="13"/>
      <c r="E2" s="13"/>
    </row>
    <row r="3" spans="1:5" ht="15.75" customHeight="1" x14ac:dyDescent="0.35">
      <c r="A3" s="12" t="s">
        <v>2</v>
      </c>
      <c r="B3" s="12"/>
      <c r="C3" s="12"/>
      <c r="D3" s="12"/>
      <c r="E3" s="12"/>
    </row>
    <row r="4" spans="1:5" ht="21.75" customHeight="1" x14ac:dyDescent="0.35">
      <c r="A4" s="15" t="s">
        <v>3</v>
      </c>
      <c r="B4" s="15" t="s">
        <v>33</v>
      </c>
      <c r="C4" s="15" t="s">
        <v>34</v>
      </c>
      <c r="D4" s="15" t="s">
        <v>6</v>
      </c>
      <c r="E4" s="15" t="s">
        <v>7</v>
      </c>
    </row>
    <row r="5" spans="1:5" ht="19.5" customHeight="1" x14ac:dyDescent="0.35">
      <c r="A5" s="30" t="s">
        <v>35</v>
      </c>
      <c r="B5" s="31"/>
      <c r="C5" s="31"/>
      <c r="D5" s="31"/>
      <c r="E5" s="31"/>
    </row>
    <row r="6" spans="1:5" ht="15.75" customHeight="1" x14ac:dyDescent="0.35">
      <c r="A6" s="20" t="s">
        <v>36</v>
      </c>
      <c r="B6" s="21">
        <v>2773720</v>
      </c>
      <c r="C6" s="21">
        <v>3293772</v>
      </c>
      <c r="D6" s="22">
        <f t="shared" ref="D6:D16" si="0">B6-C6</f>
        <v>-520052</v>
      </c>
      <c r="E6" s="23">
        <f t="shared" ref="E6:E16" si="1">IF(C6&lt;&gt;0,(B6-C6)/ABS(C6),"N/A")</f>
        <v>-0.15788949569065497</v>
      </c>
    </row>
    <row r="7" spans="1:5" ht="15.75" customHeight="1" x14ac:dyDescent="0.35">
      <c r="A7" s="16" t="s">
        <v>37</v>
      </c>
      <c r="B7" s="17">
        <v>7587</v>
      </c>
      <c r="C7" s="17">
        <v>10369</v>
      </c>
      <c r="D7" s="18">
        <f t="shared" si="0"/>
        <v>-2782</v>
      </c>
      <c r="E7" s="19">
        <f t="shared" si="1"/>
        <v>-0.26829973960844827</v>
      </c>
    </row>
    <row r="8" spans="1:5" ht="15.75" customHeight="1" x14ac:dyDescent="0.35">
      <c r="A8" s="20" t="s">
        <v>38</v>
      </c>
      <c r="B8" s="21">
        <v>2615737</v>
      </c>
      <c r="C8" s="21">
        <v>1396566</v>
      </c>
      <c r="D8" s="22">
        <f t="shared" si="0"/>
        <v>1219171</v>
      </c>
      <c r="E8" s="23">
        <f t="shared" si="1"/>
        <v>0.87297771820307812</v>
      </c>
    </row>
    <row r="9" spans="1:5" ht="15.75" customHeight="1" x14ac:dyDescent="0.35">
      <c r="A9" s="16" t="s">
        <v>39</v>
      </c>
      <c r="B9" s="17">
        <v>4183532</v>
      </c>
      <c r="C9" s="17">
        <v>4817070</v>
      </c>
      <c r="D9" s="18">
        <f t="shared" si="0"/>
        <v>-633538</v>
      </c>
      <c r="E9" s="19">
        <f t="shared" si="1"/>
        <v>-0.13151936758236854</v>
      </c>
    </row>
    <row r="10" spans="1:5" ht="15.75" customHeight="1" x14ac:dyDescent="0.35">
      <c r="A10" s="20" t="s">
        <v>40</v>
      </c>
      <c r="B10" s="21">
        <v>9368</v>
      </c>
      <c r="C10" s="21">
        <v>5513</v>
      </c>
      <c r="D10" s="22">
        <f t="shared" si="0"/>
        <v>3855</v>
      </c>
      <c r="E10" s="23">
        <f t="shared" si="1"/>
        <v>0.69925630328314892</v>
      </c>
    </row>
    <row r="11" spans="1:5" ht="15.75" customHeight="1" x14ac:dyDescent="0.35">
      <c r="A11" s="16" t="s">
        <v>41</v>
      </c>
      <c r="B11" s="17">
        <v>2771</v>
      </c>
      <c r="C11" s="17">
        <v>0</v>
      </c>
      <c r="D11" s="18">
        <f t="shared" si="0"/>
        <v>2771</v>
      </c>
      <c r="E11" s="19" t="str">
        <f t="shared" si="1"/>
        <v>N/A</v>
      </c>
    </row>
    <row r="12" spans="1:5" ht="15.75" customHeight="1" x14ac:dyDescent="0.35">
      <c r="A12" s="20" t="s">
        <v>42</v>
      </c>
      <c r="B12" s="21">
        <v>28741</v>
      </c>
      <c r="C12" s="21">
        <v>0</v>
      </c>
      <c r="D12" s="22">
        <f t="shared" si="0"/>
        <v>28741</v>
      </c>
      <c r="E12" s="23" t="str">
        <f t="shared" si="1"/>
        <v>N/A</v>
      </c>
    </row>
    <row r="13" spans="1:5" ht="15.75" customHeight="1" x14ac:dyDescent="0.35">
      <c r="A13" s="16" t="s">
        <v>43</v>
      </c>
      <c r="B13" s="17">
        <v>716454</v>
      </c>
      <c r="C13" s="17">
        <v>752321</v>
      </c>
      <c r="D13" s="18">
        <f t="shared" si="0"/>
        <v>-35867</v>
      </c>
      <c r="E13" s="19">
        <f t="shared" si="1"/>
        <v>-4.7675128037101187E-2</v>
      </c>
    </row>
    <row r="14" spans="1:5" ht="15.75" customHeight="1" x14ac:dyDescent="0.35">
      <c r="A14" s="20" t="s">
        <v>44</v>
      </c>
      <c r="B14" s="21">
        <v>167659</v>
      </c>
      <c r="C14" s="21">
        <v>152175</v>
      </c>
      <c r="D14" s="22">
        <f t="shared" si="0"/>
        <v>15484</v>
      </c>
      <c r="E14" s="23">
        <f t="shared" si="1"/>
        <v>0.10175127320519139</v>
      </c>
    </row>
    <row r="15" spans="1:5" ht="15.75" customHeight="1" x14ac:dyDescent="0.35">
      <c r="A15" s="16" t="s">
        <v>45</v>
      </c>
      <c r="B15" s="17">
        <v>118112</v>
      </c>
      <c r="C15" s="17">
        <v>143083</v>
      </c>
      <c r="D15" s="18">
        <f t="shared" si="0"/>
        <v>-24971</v>
      </c>
      <c r="E15" s="19">
        <f t="shared" si="1"/>
        <v>-0.17452108216909068</v>
      </c>
    </row>
    <row r="16" spans="1:5" ht="18" customHeight="1" x14ac:dyDescent="0.35">
      <c r="A16" s="24" t="s">
        <v>46</v>
      </c>
      <c r="B16" s="25">
        <v>10623681</v>
      </c>
      <c r="C16" s="25">
        <v>10570869</v>
      </c>
      <c r="D16" s="25">
        <f t="shared" si="0"/>
        <v>52812</v>
      </c>
      <c r="E16" s="26">
        <f t="shared" si="1"/>
        <v>4.9959941798540875E-3</v>
      </c>
    </row>
    <row r="17" spans="1:5" ht="7.5" customHeight="1" x14ac:dyDescent="0.35"/>
    <row r="18" spans="1:5" ht="19.5" customHeight="1" x14ac:dyDescent="0.35">
      <c r="A18" s="30" t="s">
        <v>47</v>
      </c>
      <c r="B18" s="31"/>
      <c r="C18" s="31"/>
      <c r="D18" s="31"/>
      <c r="E18" s="31"/>
    </row>
    <row r="19" spans="1:5" ht="15.75" customHeight="1" x14ac:dyDescent="0.35">
      <c r="A19" s="16" t="s">
        <v>48</v>
      </c>
      <c r="B19" s="17">
        <v>0</v>
      </c>
      <c r="C19" s="17">
        <v>3410</v>
      </c>
      <c r="D19" s="18">
        <f t="shared" ref="D19:D26" si="2">B19-C19</f>
        <v>-3410</v>
      </c>
      <c r="E19" s="19">
        <f t="shared" ref="E19:E26" si="3">IF(C19&lt;&gt;0,(B19-C19)/ABS(C19),"N/A")</f>
        <v>-1</v>
      </c>
    </row>
    <row r="20" spans="1:5" ht="15.75" customHeight="1" x14ac:dyDescent="0.35">
      <c r="A20" s="20" t="s">
        <v>49</v>
      </c>
      <c r="B20" s="21">
        <v>1553</v>
      </c>
      <c r="C20" s="21">
        <v>60381</v>
      </c>
      <c r="D20" s="22">
        <f t="shared" si="2"/>
        <v>-58828</v>
      </c>
      <c r="E20" s="23">
        <f t="shared" si="3"/>
        <v>-0.97427998873817923</v>
      </c>
    </row>
    <row r="21" spans="1:5" ht="15.75" customHeight="1" x14ac:dyDescent="0.35">
      <c r="A21" s="16" t="s">
        <v>50</v>
      </c>
      <c r="B21" s="17">
        <v>6666855</v>
      </c>
      <c r="C21" s="17">
        <v>6443855</v>
      </c>
      <c r="D21" s="18">
        <f t="shared" si="2"/>
        <v>223000</v>
      </c>
      <c r="E21" s="19">
        <f t="shared" si="3"/>
        <v>3.4606613587673841E-2</v>
      </c>
    </row>
    <row r="22" spans="1:5" ht="15.75" customHeight="1" x14ac:dyDescent="0.35">
      <c r="A22" s="20" t="s">
        <v>51</v>
      </c>
      <c r="B22" s="21">
        <v>336454</v>
      </c>
      <c r="C22" s="21">
        <v>428952</v>
      </c>
      <c r="D22" s="22">
        <f t="shared" si="2"/>
        <v>-92498</v>
      </c>
      <c r="E22" s="23">
        <f t="shared" si="3"/>
        <v>-0.2156371808500718</v>
      </c>
    </row>
    <row r="23" spans="1:5" ht="15.75" customHeight="1" x14ac:dyDescent="0.35">
      <c r="A23" s="16" t="s">
        <v>52</v>
      </c>
      <c r="B23" s="17">
        <v>0</v>
      </c>
      <c r="C23" s="17">
        <v>24937</v>
      </c>
      <c r="D23" s="18">
        <f t="shared" si="2"/>
        <v>-24937</v>
      </c>
      <c r="E23" s="19">
        <f t="shared" si="3"/>
        <v>-1</v>
      </c>
    </row>
    <row r="24" spans="1:5" ht="15.75" customHeight="1" x14ac:dyDescent="0.35">
      <c r="A24" s="20" t="s">
        <v>53</v>
      </c>
      <c r="B24" s="21">
        <v>0</v>
      </c>
      <c r="C24" s="21">
        <v>2218</v>
      </c>
      <c r="D24" s="22">
        <f t="shared" si="2"/>
        <v>-2218</v>
      </c>
      <c r="E24" s="23">
        <f t="shared" si="3"/>
        <v>-1</v>
      </c>
    </row>
    <row r="25" spans="1:5" ht="15.75" customHeight="1" x14ac:dyDescent="0.35">
      <c r="A25" s="16" t="s">
        <v>54</v>
      </c>
      <c r="B25" s="17">
        <v>965359</v>
      </c>
      <c r="C25" s="17">
        <v>1024617</v>
      </c>
      <c r="D25" s="18">
        <f t="shared" si="2"/>
        <v>-59258</v>
      </c>
      <c r="E25" s="19">
        <f t="shared" si="3"/>
        <v>-5.7834293204192394E-2</v>
      </c>
    </row>
    <row r="26" spans="1:5" ht="18" customHeight="1" x14ac:dyDescent="0.35">
      <c r="A26" s="24" t="s">
        <v>55</v>
      </c>
      <c r="B26" s="25">
        <v>7970221</v>
      </c>
      <c r="C26" s="25">
        <v>7988370</v>
      </c>
      <c r="D26" s="25">
        <f t="shared" si="2"/>
        <v>-18149</v>
      </c>
      <c r="E26" s="26">
        <f t="shared" si="3"/>
        <v>-2.2719278150611453E-3</v>
      </c>
    </row>
    <row r="27" spans="1:5" ht="7.5" customHeight="1" x14ac:dyDescent="0.35"/>
    <row r="28" spans="1:5" ht="19.5" customHeight="1" x14ac:dyDescent="0.35">
      <c r="A28" s="30" t="s">
        <v>56</v>
      </c>
      <c r="B28" s="31"/>
      <c r="C28" s="31"/>
      <c r="D28" s="31"/>
      <c r="E28" s="31"/>
    </row>
    <row r="29" spans="1:5" ht="15.75" customHeight="1" x14ac:dyDescent="0.35">
      <c r="A29" s="16" t="s">
        <v>57</v>
      </c>
      <c r="B29" s="17">
        <v>404245</v>
      </c>
      <c r="C29" s="17">
        <v>404245</v>
      </c>
      <c r="D29" s="18">
        <f>B29-C29</f>
        <v>0</v>
      </c>
      <c r="E29" s="19">
        <f>IF(C29&lt;&gt;0,(B29-C29)/ABS(C29),"N/A")</f>
        <v>0</v>
      </c>
    </row>
    <row r="30" spans="1:5" ht="15.75" customHeight="1" x14ac:dyDescent="0.35">
      <c r="A30" s="20" t="s">
        <v>58</v>
      </c>
      <c r="B30" s="21">
        <v>1193037</v>
      </c>
      <c r="C30" s="21">
        <v>1161085</v>
      </c>
      <c r="D30" s="22">
        <f>B30-C30</f>
        <v>31952</v>
      </c>
      <c r="E30" s="23">
        <f>IF(C30&lt;&gt;0,(B30-C30)/ABS(C30),"N/A")</f>
        <v>2.751908774982021E-2</v>
      </c>
    </row>
    <row r="31" spans="1:5" ht="15.75" customHeight="1" x14ac:dyDescent="0.35">
      <c r="A31" s="16" t="s">
        <v>59</v>
      </c>
      <c r="B31" s="17">
        <v>505250</v>
      </c>
      <c r="C31" s="17">
        <v>505250</v>
      </c>
      <c r="D31" s="18">
        <f>B31-C31</f>
        <v>0</v>
      </c>
      <c r="E31" s="19">
        <f>IF(C31&lt;&gt;0,(B31-C31)/ABS(C31),"N/A")</f>
        <v>0</v>
      </c>
    </row>
    <row r="32" spans="1:5" ht="15.75" customHeight="1" x14ac:dyDescent="0.35">
      <c r="A32" s="20" t="s">
        <v>60</v>
      </c>
      <c r="B32" s="21">
        <v>550928</v>
      </c>
      <c r="C32" s="21">
        <v>511919</v>
      </c>
      <c r="D32" s="22">
        <f>B32-C32</f>
        <v>39009</v>
      </c>
      <c r="E32" s="23">
        <f>IF(C32&lt;&gt;0,(B32-C32)/ABS(C32),"N/A")</f>
        <v>7.6201508441765195E-2</v>
      </c>
    </row>
    <row r="33" spans="1:5" ht="18" customHeight="1" x14ac:dyDescent="0.35">
      <c r="A33" s="24" t="s">
        <v>61</v>
      </c>
      <c r="B33" s="25">
        <v>2653460</v>
      </c>
      <c r="C33" s="25">
        <v>2582499</v>
      </c>
      <c r="D33" s="25">
        <f>B33-C33</f>
        <v>70961</v>
      </c>
      <c r="E33" s="26">
        <f>IF(C33&lt;&gt;0,(B33-C33)/ABS(C33),"N/A")</f>
        <v>2.7477648587666444E-2</v>
      </c>
    </row>
    <row r="34" spans="1:5" ht="7.5" customHeight="1" x14ac:dyDescent="0.35"/>
    <row r="35" spans="1:5" ht="18" customHeight="1" x14ac:dyDescent="0.35">
      <c r="A35" s="24" t="s">
        <v>62</v>
      </c>
      <c r="B35" s="25">
        <v>10623681</v>
      </c>
      <c r="C35" s="25">
        <v>10570869</v>
      </c>
      <c r="D35" s="25">
        <f>B35-C35</f>
        <v>52812</v>
      </c>
      <c r="E35" s="26">
        <f>IF(C35&lt;&gt;0,(B35-C35)/ABS(C35),"N/A")</f>
        <v>4.9959941798540875E-3</v>
      </c>
    </row>
    <row r="37" spans="1:5" ht="19.5" customHeight="1" x14ac:dyDescent="0.35">
      <c r="A37" s="11" t="s">
        <v>63</v>
      </c>
      <c r="B37" s="11"/>
      <c r="C37" s="11"/>
      <c r="D37" s="11"/>
      <c r="E37" s="11"/>
    </row>
    <row r="38" spans="1:5" ht="21.75" customHeight="1" x14ac:dyDescent="0.35">
      <c r="A38" s="32" t="s">
        <v>64</v>
      </c>
      <c r="B38" s="32" t="s">
        <v>65</v>
      </c>
      <c r="C38" s="32" t="s">
        <v>66</v>
      </c>
      <c r="D38" s="32" t="s">
        <v>67</v>
      </c>
      <c r="E38" s="32" t="s">
        <v>68</v>
      </c>
    </row>
    <row r="39" spans="1:5" ht="18" customHeight="1" x14ac:dyDescent="0.35">
      <c r="A39" s="33" t="s">
        <v>69</v>
      </c>
      <c r="B39" s="34">
        <f>B16</f>
        <v>10623681</v>
      </c>
      <c r="C39" s="34">
        <f>B26+B33</f>
        <v>10623681</v>
      </c>
      <c r="D39" s="34">
        <f>B39-C39</f>
        <v>0</v>
      </c>
      <c r="E39" s="33" t="str">
        <f>IF(ABS(D39)&lt;1,"✓ Balanced","✗ ERROR")</f>
        <v>✓ Balanced</v>
      </c>
    </row>
    <row r="40" spans="1:5" ht="18" customHeight="1" x14ac:dyDescent="0.35">
      <c r="A40" s="33" t="s">
        <v>70</v>
      </c>
      <c r="B40" s="34">
        <f>C16</f>
        <v>10570869</v>
      </c>
      <c r="C40" s="34">
        <f>C26+C33</f>
        <v>10570869</v>
      </c>
      <c r="D40" s="34">
        <f>B40-C40</f>
        <v>0</v>
      </c>
      <c r="E40" s="33" t="str">
        <f>IF(ABS(D40)&lt;1,"✓ Balanced","✗ ERROR")</f>
        <v>✓ Balanced</v>
      </c>
    </row>
  </sheetData>
  <mergeCells count="4">
    <mergeCell ref="A1:E1"/>
    <mergeCell ref="A2:E2"/>
    <mergeCell ref="A3:E3"/>
    <mergeCell ref="A37:E3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zoomScaleNormal="100" workbookViewId="0">
      <pane xSplit="2" ySplit="4" topLeftCell="C5" activePane="bottomRight" state="frozen"/>
      <selection pane="topRight" activeCell="C1" sqref="C1"/>
      <selection pane="bottomLeft" activeCell="A5" sqref="A5"/>
      <selection pane="bottomRight" activeCell="E11" sqref="E11"/>
    </sheetView>
  </sheetViews>
  <sheetFormatPr defaultColWidth="8.6328125" defaultRowHeight="14.5" x14ac:dyDescent="0.35"/>
  <cols>
    <col min="1" max="1" width="38" customWidth="1"/>
    <col min="2" max="2" width="44" customWidth="1"/>
    <col min="3" max="5" width="16" customWidth="1"/>
    <col min="6" max="6" width="22" customWidth="1"/>
  </cols>
  <sheetData>
    <row r="1" spans="1:6" ht="27.75" customHeight="1" x14ac:dyDescent="0.35">
      <c r="A1" s="14" t="s">
        <v>71</v>
      </c>
      <c r="B1" s="14"/>
      <c r="C1" s="14"/>
      <c r="D1" s="14"/>
      <c r="E1" s="14"/>
      <c r="F1" s="14"/>
    </row>
    <row r="2" spans="1:6" ht="18" customHeight="1" x14ac:dyDescent="0.35">
      <c r="A2" s="13" t="s">
        <v>72</v>
      </c>
      <c r="B2" s="13"/>
      <c r="C2" s="13"/>
      <c r="D2" s="13"/>
      <c r="E2" s="13"/>
      <c r="F2" s="13"/>
    </row>
    <row r="4" spans="1:6" ht="21.75" customHeight="1" x14ac:dyDescent="0.35">
      <c r="A4" s="15" t="s">
        <v>73</v>
      </c>
      <c r="B4" s="15" t="s">
        <v>74</v>
      </c>
      <c r="C4" s="15" t="s">
        <v>75</v>
      </c>
      <c r="D4" s="15" t="s">
        <v>76</v>
      </c>
      <c r="E4" s="15" t="s">
        <v>77</v>
      </c>
      <c r="F4" s="15" t="s">
        <v>78</v>
      </c>
    </row>
    <row r="5" spans="1:6" ht="19.5" customHeight="1" x14ac:dyDescent="0.35">
      <c r="A5" s="35" t="s">
        <v>79</v>
      </c>
      <c r="B5" s="36" t="s">
        <v>80</v>
      </c>
      <c r="C5" s="37">
        <f>Income_Statement!B7/Balance_Sheet!B16</f>
        <v>2.1161215213446261E-2</v>
      </c>
      <c r="D5" s="37">
        <f>Income_Statement!C7/Balance_Sheet!C16</f>
        <v>2.8854392198030265E-2</v>
      </c>
      <c r="E5" s="38">
        <f t="shared" ref="E5:E11" si="0">C5-D5</f>
        <v>-7.6931769845840041E-3</v>
      </c>
      <c r="F5" s="39" t="str">
        <f>IF(C5&gt;D5,"▲ Improved","▼ Deteriorated")</f>
        <v>▼ Deteriorated</v>
      </c>
    </row>
    <row r="6" spans="1:6" ht="19.5" customHeight="1" x14ac:dyDescent="0.35">
      <c r="A6" s="40" t="s">
        <v>81</v>
      </c>
      <c r="B6" s="41" t="s">
        <v>82</v>
      </c>
      <c r="C6" s="42">
        <f>ABS(Income_Statement!B26)/Income_Statement!B18</f>
        <v>0.63889443405985158</v>
      </c>
      <c r="D6" s="42">
        <f>ABS(Income_Statement!C26)/Income_Statement!C18</f>
        <v>0.47144698901275994</v>
      </c>
      <c r="E6" s="43">
        <f t="shared" si="0"/>
        <v>0.16744744504709164</v>
      </c>
      <c r="F6" s="44" t="str">
        <f>IF(C6&lt;D6,"▲ Improved","▼ Deteriorated")</f>
        <v>▼ Deteriorated</v>
      </c>
    </row>
    <row r="7" spans="1:6" ht="19.5" customHeight="1" x14ac:dyDescent="0.35">
      <c r="A7" s="35" t="s">
        <v>83</v>
      </c>
      <c r="B7" s="36" t="s">
        <v>84</v>
      </c>
      <c r="C7" s="37">
        <f>Income_Statement!B30/Balance_Sheet!B16</f>
        <v>4.8650745443128418E-3</v>
      </c>
      <c r="D7" s="37">
        <f>Income_Statement!C30/Balance_Sheet!C16</f>
        <v>1.2923913823924977E-2</v>
      </c>
      <c r="E7" s="38">
        <f t="shared" si="0"/>
        <v>-8.0588392796121355E-3</v>
      </c>
      <c r="F7" s="39" t="str">
        <f>IF(C7&gt;D7,"▲ Improved","▼ Deteriorated")</f>
        <v>▼ Deteriorated</v>
      </c>
    </row>
    <row r="8" spans="1:6" ht="19.5" customHeight="1" x14ac:dyDescent="0.35">
      <c r="A8" s="40" t="s">
        <v>85</v>
      </c>
      <c r="B8" s="41" t="s">
        <v>86</v>
      </c>
      <c r="C8" s="42">
        <f>Income_Statement!B30/Balance_Sheet!B33</f>
        <v>1.9478341486210457E-2</v>
      </c>
      <c r="D8" s="42">
        <f>Income_Statement!C30/Balance_Sheet!C33</f>
        <v>5.2901085344079515E-2</v>
      </c>
      <c r="E8" s="43">
        <f t="shared" si="0"/>
        <v>-3.3422743857869058E-2</v>
      </c>
      <c r="F8" s="44" t="str">
        <f>IF(C8&gt;D8,"▲ Improved","▼ Deteriorated")</f>
        <v>▼ Deteriorated</v>
      </c>
    </row>
    <row r="9" spans="1:6" ht="19.5" customHeight="1" x14ac:dyDescent="0.35">
      <c r="A9" s="35" t="s">
        <v>87</v>
      </c>
      <c r="B9" s="36" t="s">
        <v>88</v>
      </c>
      <c r="C9" s="37">
        <f>Balance_Sheet!B9/Balance_Sheet!B21</f>
        <v>0.62751207278394383</v>
      </c>
      <c r="D9" s="37">
        <f>Balance_Sheet!C9/Balance_Sheet!C21</f>
        <v>0.7475447538779193</v>
      </c>
      <c r="E9" s="38">
        <f t="shared" si="0"/>
        <v>-0.12003268109397547</v>
      </c>
      <c r="F9" s="39" t="str">
        <f>IF(C9&gt;D9,"▲ Improved","▼ Deteriorated")</f>
        <v>▼ Deteriorated</v>
      </c>
    </row>
    <row r="10" spans="1:6" ht="19.5" customHeight="1" x14ac:dyDescent="0.35">
      <c r="A10" s="40" t="s">
        <v>89</v>
      </c>
      <c r="B10" s="41" t="s">
        <v>90</v>
      </c>
      <c r="C10" s="42">
        <f>Balance_Sheet!B33/Balance_Sheet!B16</f>
        <v>0.24976841831000007</v>
      </c>
      <c r="D10" s="42">
        <f>Balance_Sheet!C33/Balance_Sheet!C16</f>
        <v>0.24430337751796943</v>
      </c>
      <c r="E10" s="43">
        <f t="shared" si="0"/>
        <v>5.4650407920306399E-3</v>
      </c>
      <c r="F10" s="44" t="str">
        <f>IF(C10&gt;D10,"▲ Improved","▼ Deteriorated")</f>
        <v>▲ Improved</v>
      </c>
    </row>
    <row r="11" spans="1:6" ht="19.5" customHeight="1" x14ac:dyDescent="0.35">
      <c r="A11" s="35" t="s">
        <v>91</v>
      </c>
      <c r="B11" s="36" t="s">
        <v>92</v>
      </c>
      <c r="C11" s="37">
        <f>Income_Statement!B28/Income_Statement!B18</f>
        <v>0.2842785329292416</v>
      </c>
      <c r="D11" s="37">
        <f>Income_Statement!C28/Income_Statement!C18</f>
        <v>0.61184077998469033</v>
      </c>
      <c r="E11" s="38">
        <f t="shared" si="0"/>
        <v>-0.32756224705544873</v>
      </c>
      <c r="F11" s="39" t="str">
        <f>IF(C11&gt;D11,"▲ Improved","▼ Deteriorated")</f>
        <v>▼ Deteriorated</v>
      </c>
    </row>
    <row r="13" spans="1:6" ht="36" customHeight="1" x14ac:dyDescent="0.35">
      <c r="A13" s="10" t="s">
        <v>93</v>
      </c>
      <c r="B13" s="10"/>
      <c r="C13" s="10"/>
      <c r="D13" s="10"/>
      <c r="E13" s="10"/>
      <c r="F13" s="10"/>
    </row>
  </sheetData>
  <mergeCells count="3">
    <mergeCell ref="A1:F1"/>
    <mergeCell ref="A2:F2"/>
    <mergeCell ref="A13:F1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zoomScaleNormal="100" workbookViewId="0">
      <pane xSplit="1" ySplit="4" topLeftCell="B5" activePane="bottomRight" state="frozen"/>
      <selection pane="topRight" activeCell="B1" sqref="B1"/>
      <selection pane="bottomLeft" activeCell="A5" sqref="A5"/>
      <selection pane="bottomRight" activeCell="D14" sqref="D14"/>
    </sheetView>
  </sheetViews>
  <sheetFormatPr defaultColWidth="8.6328125" defaultRowHeight="14.5" x14ac:dyDescent="0.35"/>
  <cols>
    <col min="1" max="1" width="46" customWidth="1"/>
    <col min="2" max="4" width="20" customWidth="1"/>
    <col min="5" max="5" width="75.36328125" bestFit="1" customWidth="1"/>
  </cols>
  <sheetData>
    <row r="1" spans="1:5" ht="27.75" customHeight="1" x14ac:dyDescent="0.35">
      <c r="A1" s="14" t="s">
        <v>94</v>
      </c>
      <c r="B1" s="14"/>
      <c r="C1" s="14"/>
      <c r="D1" s="14"/>
      <c r="E1" s="14"/>
    </row>
    <row r="2" spans="1:5" ht="18" customHeight="1" x14ac:dyDescent="0.35">
      <c r="A2" s="13" t="s">
        <v>95</v>
      </c>
      <c r="B2" s="13"/>
      <c r="C2" s="13"/>
      <c r="D2" s="13"/>
      <c r="E2" s="13"/>
    </row>
    <row r="4" spans="1:5" ht="21.75" customHeight="1" x14ac:dyDescent="0.35">
      <c r="A4" s="15" t="s">
        <v>96</v>
      </c>
      <c r="B4" s="15" t="s">
        <v>4</v>
      </c>
      <c r="C4" s="15" t="s">
        <v>5</v>
      </c>
      <c r="D4" s="15" t="s">
        <v>97</v>
      </c>
      <c r="E4" s="15" t="s">
        <v>98</v>
      </c>
    </row>
    <row r="5" spans="1:5" ht="18" customHeight="1" x14ac:dyDescent="0.35">
      <c r="A5" s="45" t="s">
        <v>99</v>
      </c>
      <c r="B5" s="46"/>
      <c r="C5" s="46"/>
      <c r="D5" s="25">
        <f>Income_Statement!C28</f>
        <v>212611</v>
      </c>
      <c r="E5" s="24" t="s">
        <v>100</v>
      </c>
    </row>
    <row r="6" spans="1:5" ht="15.75" customHeight="1" x14ac:dyDescent="0.35">
      <c r="A6" s="47" t="s">
        <v>101</v>
      </c>
      <c r="B6" s="48">
        <f>Income_Statement!B7</f>
        <v>224810</v>
      </c>
      <c r="C6" s="48">
        <f>Income_Statement!C7</f>
        <v>305016</v>
      </c>
      <c r="D6" s="22">
        <f t="shared" ref="D6:D12" si="0">B6-C6</f>
        <v>-80206</v>
      </c>
      <c r="E6" s="64" t="s">
        <v>102</v>
      </c>
    </row>
    <row r="7" spans="1:5" ht="15.75" customHeight="1" x14ac:dyDescent="0.35">
      <c r="A7" s="49" t="s">
        <v>103</v>
      </c>
      <c r="B7" s="50">
        <f>Income_Statement!B11</f>
        <v>24824</v>
      </c>
      <c r="C7" s="50">
        <f>Income_Statement!C11</f>
        <v>23404</v>
      </c>
      <c r="D7" s="18">
        <f t="shared" si="0"/>
        <v>1420</v>
      </c>
      <c r="E7" s="65" t="s">
        <v>104</v>
      </c>
    </row>
    <row r="8" spans="1:5" ht="15.75" customHeight="1" x14ac:dyDescent="0.35">
      <c r="A8" s="47" t="s">
        <v>105</v>
      </c>
      <c r="B8" s="48">
        <f>Income_Statement!B16</f>
        <v>25881</v>
      </c>
      <c r="C8" s="48">
        <f>Income_Statement!C16</f>
        <v>19074</v>
      </c>
      <c r="D8" s="22">
        <f t="shared" si="0"/>
        <v>6807</v>
      </c>
      <c r="E8" s="64" t="s">
        <v>106</v>
      </c>
    </row>
    <row r="9" spans="1:5" ht="15.75" customHeight="1" x14ac:dyDescent="0.35">
      <c r="A9" s="49" t="s">
        <v>107</v>
      </c>
      <c r="B9" s="50">
        <f>Income_Statement!B20</f>
        <v>-21167</v>
      </c>
      <c r="C9" s="50">
        <f>Income_Statement!C20</f>
        <v>28942</v>
      </c>
      <c r="D9" s="18">
        <f t="shared" si="0"/>
        <v>-50109</v>
      </c>
      <c r="E9" s="65" t="s">
        <v>108</v>
      </c>
    </row>
    <row r="10" spans="1:5" ht="15.75" customHeight="1" x14ac:dyDescent="0.35">
      <c r="A10" s="47" t="s">
        <v>109</v>
      </c>
      <c r="B10" s="48">
        <f>Income_Statement!B23</f>
        <v>-76451</v>
      </c>
      <c r="C10" s="48">
        <f>Income_Statement!C23</f>
        <v>-72465</v>
      </c>
      <c r="D10" s="22">
        <f t="shared" si="0"/>
        <v>-3986</v>
      </c>
      <c r="E10" s="64" t="s">
        <v>110</v>
      </c>
    </row>
    <row r="11" spans="1:5" ht="15.75" customHeight="1" x14ac:dyDescent="0.35">
      <c r="A11" s="49" t="s">
        <v>111</v>
      </c>
      <c r="B11" s="50">
        <f>Income_Statement!B24</f>
        <v>-38512</v>
      </c>
      <c r="C11" s="50">
        <f>Income_Statement!C24</f>
        <v>-28758</v>
      </c>
      <c r="D11" s="18">
        <f t="shared" si="0"/>
        <v>-9754</v>
      </c>
      <c r="E11" s="65" t="s">
        <v>112</v>
      </c>
    </row>
    <row r="12" spans="1:5" ht="15.75" customHeight="1" x14ac:dyDescent="0.35">
      <c r="A12" s="47" t="s">
        <v>113</v>
      </c>
      <c r="B12" s="48">
        <f>Income_Statement!B25</f>
        <v>-61062</v>
      </c>
      <c r="C12" s="48">
        <f>Income_Statement!C25</f>
        <v>-62602</v>
      </c>
      <c r="D12" s="22">
        <f t="shared" si="0"/>
        <v>1540</v>
      </c>
      <c r="E12" s="64" t="s">
        <v>114</v>
      </c>
    </row>
    <row r="13" spans="1:5" ht="18" customHeight="1" x14ac:dyDescent="0.35">
      <c r="A13" s="46" t="s">
        <v>115</v>
      </c>
      <c r="B13" s="46"/>
      <c r="C13" s="46"/>
      <c r="D13" s="51">
        <f>D6+D7+D8+D9+D10+D11+D12</f>
        <v>-134288</v>
      </c>
      <c r="E13" s="46" t="str">
        <f>IF(ABS(D13-(Income_Statement!B28-Income_Statement!C28))&lt;1,"✓ Bridge balances","✗ Check formulas")</f>
        <v>✓ Bridge balances</v>
      </c>
    </row>
    <row r="14" spans="1:5" ht="18" customHeight="1" x14ac:dyDescent="0.35">
      <c r="A14" s="46" t="s">
        <v>116</v>
      </c>
      <c r="B14" s="46"/>
      <c r="C14" s="46"/>
      <c r="D14" s="51">
        <f>D5+D13</f>
        <v>78323</v>
      </c>
      <c r="E14" s="46" t="str">
        <f>IF(ABS(D14-Income_Statement!B28)&lt;1,"✓ Matches IS","✗ Check")</f>
        <v>✓ Matches IS</v>
      </c>
    </row>
    <row r="16" spans="1:5" ht="21.75" customHeight="1" x14ac:dyDescent="0.35">
      <c r="A16" s="11" t="s">
        <v>117</v>
      </c>
      <c r="B16" s="11"/>
      <c r="C16" s="11"/>
      <c r="D16" s="11"/>
      <c r="E16" s="11"/>
    </row>
    <row r="17" spans="1:5" ht="21.75" customHeight="1" x14ac:dyDescent="0.35">
      <c r="A17" s="32" t="s">
        <v>118</v>
      </c>
      <c r="B17" s="32" t="s">
        <v>96</v>
      </c>
      <c r="C17" s="32" t="s">
        <v>119</v>
      </c>
      <c r="D17" s="32" t="s">
        <v>120</v>
      </c>
      <c r="E17" s="32" t="s">
        <v>121</v>
      </c>
    </row>
    <row r="18" spans="1:5" ht="24" customHeight="1" x14ac:dyDescent="0.35">
      <c r="A18" s="52" t="s">
        <v>122</v>
      </c>
      <c r="B18" s="53" t="s">
        <v>123</v>
      </c>
      <c r="C18" s="66">
        <v>-80206</v>
      </c>
      <c r="D18" s="68">
        <v>0.59699999999999998</v>
      </c>
      <c r="E18" s="53" t="s">
        <v>124</v>
      </c>
    </row>
    <row r="19" spans="1:5" ht="24" customHeight="1" x14ac:dyDescent="0.35">
      <c r="A19" s="52" t="s">
        <v>125</v>
      </c>
      <c r="B19" s="53" t="s">
        <v>126</v>
      </c>
      <c r="C19" s="67">
        <v>-50109</v>
      </c>
      <c r="D19" s="69">
        <v>0.373</v>
      </c>
      <c r="E19" s="53" t="s">
        <v>127</v>
      </c>
    </row>
    <row r="20" spans="1:5" ht="24" customHeight="1" x14ac:dyDescent="0.35">
      <c r="A20" s="52" t="s">
        <v>128</v>
      </c>
      <c r="B20" s="53" t="s">
        <v>129</v>
      </c>
      <c r="C20" s="67">
        <v>-9754</v>
      </c>
      <c r="D20" s="69">
        <v>7.2999999999999995E-2</v>
      </c>
      <c r="E20" s="53" t="s">
        <v>130</v>
      </c>
    </row>
  </sheetData>
  <mergeCells count="3">
    <mergeCell ref="A1:E1"/>
    <mergeCell ref="A2:E2"/>
    <mergeCell ref="A16:E1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4"/>
  <sheetViews>
    <sheetView zoomScaleNormal="100" workbookViewId="0">
      <pane xSplit="1" ySplit="4" topLeftCell="B5" activePane="bottomRight" state="frozen"/>
      <selection pane="topRight" activeCell="B1" sqref="B1"/>
      <selection pane="bottomLeft" activeCell="A5" sqref="A5"/>
      <selection pane="bottomRight" activeCell="C5" sqref="C5"/>
    </sheetView>
  </sheetViews>
  <sheetFormatPr defaultColWidth="8.6328125" defaultRowHeight="14.5" x14ac:dyDescent="0.35"/>
  <cols>
    <col min="1" max="1" width="6" customWidth="1"/>
    <col min="2" max="2" width="46" customWidth="1"/>
    <col min="3" max="3" width="60" customWidth="1"/>
  </cols>
  <sheetData>
    <row r="1" spans="1:3" ht="27.75" customHeight="1" x14ac:dyDescent="0.35">
      <c r="A1" s="14" t="s">
        <v>131</v>
      </c>
      <c r="B1" s="14"/>
      <c r="C1" s="14"/>
    </row>
    <row r="2" spans="1:3" ht="15.75" customHeight="1" x14ac:dyDescent="0.35">
      <c r="A2" s="9" t="s">
        <v>132</v>
      </c>
      <c r="B2" s="9"/>
      <c r="C2" s="9"/>
    </row>
    <row r="4" spans="1:3" ht="21.75" customHeight="1" x14ac:dyDescent="0.35">
      <c r="A4" s="15" t="s">
        <v>133</v>
      </c>
      <c r="B4" s="15" t="s">
        <v>134</v>
      </c>
      <c r="C4" s="15" t="s">
        <v>135</v>
      </c>
    </row>
    <row r="5" spans="1:3" ht="79.5" customHeight="1" x14ac:dyDescent="0.35">
      <c r="A5" s="54" t="s">
        <v>122</v>
      </c>
      <c r="B5" s="55" t="s">
        <v>136</v>
      </c>
      <c r="C5" s="56" t="s">
        <v>137</v>
      </c>
    </row>
    <row r="6" spans="1:3" ht="79.5" customHeight="1" x14ac:dyDescent="0.35">
      <c r="A6" s="54" t="s">
        <v>125</v>
      </c>
      <c r="B6" s="57" t="s">
        <v>138</v>
      </c>
      <c r="C6" s="56" t="s">
        <v>139</v>
      </c>
    </row>
    <row r="7" spans="1:3" ht="79.5" customHeight="1" x14ac:dyDescent="0.35">
      <c r="A7" s="54" t="s">
        <v>128</v>
      </c>
      <c r="B7" s="55" t="s">
        <v>140</v>
      </c>
      <c r="C7" s="56" t="s">
        <v>141</v>
      </c>
    </row>
    <row r="8" spans="1:3" ht="79.5" customHeight="1" x14ac:dyDescent="0.35">
      <c r="A8" s="54" t="s">
        <v>142</v>
      </c>
      <c r="B8" s="57" t="s">
        <v>143</v>
      </c>
      <c r="C8" s="56" t="s">
        <v>144</v>
      </c>
    </row>
    <row r="9" spans="1:3" ht="79.5" customHeight="1" x14ac:dyDescent="0.35">
      <c r="A9" s="54" t="s">
        <v>145</v>
      </c>
      <c r="B9" s="55" t="s">
        <v>146</v>
      </c>
      <c r="C9" s="56" t="s">
        <v>147</v>
      </c>
    </row>
    <row r="10" spans="1:3" ht="79.5" customHeight="1" x14ac:dyDescent="0.35">
      <c r="A10" s="54" t="s">
        <v>148</v>
      </c>
      <c r="B10" s="57" t="s">
        <v>149</v>
      </c>
      <c r="C10" s="56" t="s">
        <v>150</v>
      </c>
    </row>
    <row r="11" spans="1:3" ht="79.5" customHeight="1" x14ac:dyDescent="0.35">
      <c r="A11" s="54" t="s">
        <v>151</v>
      </c>
      <c r="B11" s="55" t="s">
        <v>152</v>
      </c>
      <c r="C11" s="56" t="s">
        <v>153</v>
      </c>
    </row>
    <row r="12" spans="1:3" ht="79.5" customHeight="1" x14ac:dyDescent="0.35">
      <c r="A12" s="54" t="s">
        <v>154</v>
      </c>
      <c r="B12" s="57" t="s">
        <v>155</v>
      </c>
      <c r="C12" s="56" t="s">
        <v>156</v>
      </c>
    </row>
    <row r="13" spans="1:3" ht="79.5" customHeight="1" x14ac:dyDescent="0.35">
      <c r="A13" s="54" t="s">
        <v>157</v>
      </c>
      <c r="B13" s="55" t="s">
        <v>158</v>
      </c>
      <c r="C13" s="56" t="s">
        <v>159</v>
      </c>
    </row>
    <row r="14" spans="1:3" ht="79.5" customHeight="1" x14ac:dyDescent="0.35">
      <c r="A14" s="54" t="s">
        <v>160</v>
      </c>
      <c r="B14" s="57" t="s">
        <v>161</v>
      </c>
      <c r="C14" s="56" t="s">
        <v>162</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8"/>
  <sheetViews>
    <sheetView zoomScaleNormal="100" workbookViewId="0">
      <pane xSplit="1" ySplit="4" topLeftCell="B12" activePane="bottomRight" state="frozen"/>
      <selection pane="topRight" activeCell="B1" sqref="B1"/>
      <selection pane="bottomLeft" activeCell="A5" sqref="A5"/>
      <selection pane="bottomRight" activeCell="G8" sqref="G8"/>
    </sheetView>
  </sheetViews>
  <sheetFormatPr defaultColWidth="8.6328125" defaultRowHeight="14.5" x14ac:dyDescent="0.35"/>
  <cols>
    <col min="1" max="1" width="36" customWidth="1"/>
    <col min="2" max="4" width="18" customWidth="1"/>
    <col min="5" max="5" width="22" customWidth="1"/>
  </cols>
  <sheetData>
    <row r="1" spans="1:5" ht="30" customHeight="1" x14ac:dyDescent="0.35">
      <c r="A1" s="14" t="s">
        <v>163</v>
      </c>
      <c r="B1" s="14"/>
      <c r="C1" s="14"/>
      <c r="D1" s="14"/>
      <c r="E1" s="14"/>
    </row>
    <row r="2" spans="1:5" ht="15.75" customHeight="1" x14ac:dyDescent="0.35">
      <c r="A2" s="9" t="s">
        <v>164</v>
      </c>
      <c r="B2" s="9"/>
      <c r="C2" s="9"/>
      <c r="D2" s="9"/>
      <c r="E2" s="9"/>
    </row>
    <row r="4" spans="1:5" ht="21.75" customHeight="1" x14ac:dyDescent="0.35">
      <c r="A4" s="8" t="s">
        <v>165</v>
      </c>
      <c r="B4" s="8"/>
      <c r="C4" s="8"/>
      <c r="D4" s="8"/>
      <c r="E4" s="8"/>
    </row>
    <row r="5" spans="1:5" ht="21.75" customHeight="1" x14ac:dyDescent="0.35">
      <c r="A5" s="15" t="s">
        <v>73</v>
      </c>
      <c r="B5" s="15" t="s">
        <v>75</v>
      </c>
      <c r="C5" s="15" t="s">
        <v>76</v>
      </c>
      <c r="D5" s="15" t="s">
        <v>77</v>
      </c>
      <c r="E5" s="15" t="s">
        <v>166</v>
      </c>
    </row>
    <row r="6" spans="1:5" ht="18" customHeight="1" x14ac:dyDescent="0.35">
      <c r="A6" s="35" t="s">
        <v>79</v>
      </c>
      <c r="B6" s="37">
        <f>Ratio_Analysis!C5</f>
        <v>2.1161215213446261E-2</v>
      </c>
      <c r="C6" s="37">
        <f>Ratio_Analysis!D5</f>
        <v>2.8854392198030265E-2</v>
      </c>
      <c r="D6" s="38">
        <f t="shared" ref="D6:D12" si="0">B6-C6</f>
        <v>-7.6931769845840041E-3</v>
      </c>
      <c r="E6" s="39" t="str">
        <f>IF(B6&gt;C6,"🟢 Improved","🔴 Deteriorated")</f>
        <v>🔴 Deteriorated</v>
      </c>
    </row>
    <row r="7" spans="1:5" ht="18" customHeight="1" x14ac:dyDescent="0.35">
      <c r="A7" s="40" t="s">
        <v>81</v>
      </c>
      <c r="B7" s="42">
        <f>Ratio_Analysis!C6</f>
        <v>0.63889443405985158</v>
      </c>
      <c r="C7" s="42">
        <f>Ratio_Analysis!D6</f>
        <v>0.47144698901275994</v>
      </c>
      <c r="D7" s="43">
        <f t="shared" si="0"/>
        <v>0.16744744504709164</v>
      </c>
      <c r="E7" s="44" t="str">
        <f>IF(B7&lt;C7,"🟢 Improved","🔴 Deteriorated")</f>
        <v>🔴 Deteriorated</v>
      </c>
    </row>
    <row r="8" spans="1:5" ht="18" customHeight="1" x14ac:dyDescent="0.35">
      <c r="A8" s="35" t="s">
        <v>83</v>
      </c>
      <c r="B8" s="37">
        <f>Ratio_Analysis!C7</f>
        <v>4.8650745443128418E-3</v>
      </c>
      <c r="C8" s="37">
        <f>Ratio_Analysis!D7</f>
        <v>1.2923913823924977E-2</v>
      </c>
      <c r="D8" s="38">
        <f t="shared" si="0"/>
        <v>-8.0588392796121355E-3</v>
      </c>
      <c r="E8" s="39" t="str">
        <f>IF(B8&gt;C8,"🟢 Improved","🔴 Deteriorated")</f>
        <v>🔴 Deteriorated</v>
      </c>
    </row>
    <row r="9" spans="1:5" ht="18" customHeight="1" x14ac:dyDescent="0.35">
      <c r="A9" s="40" t="s">
        <v>85</v>
      </c>
      <c r="B9" s="42">
        <f>Ratio_Analysis!C8</f>
        <v>1.9478341486210457E-2</v>
      </c>
      <c r="C9" s="42">
        <f>Ratio_Analysis!D8</f>
        <v>5.2901085344079515E-2</v>
      </c>
      <c r="D9" s="43">
        <f t="shared" si="0"/>
        <v>-3.3422743857869058E-2</v>
      </c>
      <c r="E9" s="44" t="str">
        <f>IF(B9&gt;C9,"🟢 Improved","🔴 Deteriorated")</f>
        <v>🔴 Deteriorated</v>
      </c>
    </row>
    <row r="10" spans="1:5" ht="18" customHeight="1" x14ac:dyDescent="0.35">
      <c r="A10" s="35" t="s">
        <v>87</v>
      </c>
      <c r="B10" s="37">
        <f>Ratio_Analysis!C9</f>
        <v>0.62751207278394383</v>
      </c>
      <c r="C10" s="37">
        <f>Ratio_Analysis!D9</f>
        <v>0.7475447538779193</v>
      </c>
      <c r="D10" s="38">
        <f t="shared" si="0"/>
        <v>-0.12003268109397547</v>
      </c>
      <c r="E10" s="39" t="s">
        <v>167</v>
      </c>
    </row>
    <row r="11" spans="1:5" ht="18" customHeight="1" x14ac:dyDescent="0.35">
      <c r="A11" s="40" t="s">
        <v>89</v>
      </c>
      <c r="B11" s="42">
        <f>Ratio_Analysis!C10</f>
        <v>0.24976841831000007</v>
      </c>
      <c r="C11" s="42">
        <f>Ratio_Analysis!D10</f>
        <v>0.24430337751796943</v>
      </c>
      <c r="D11" s="43">
        <f t="shared" si="0"/>
        <v>5.4650407920306399E-3</v>
      </c>
      <c r="E11" s="44" t="str">
        <f>IF(B11&gt;C11,"🟢 Improved","🔴 Deteriorated")</f>
        <v>🟢 Improved</v>
      </c>
    </row>
    <row r="12" spans="1:5" ht="18" customHeight="1" x14ac:dyDescent="0.35">
      <c r="A12" s="35" t="s">
        <v>91</v>
      </c>
      <c r="B12" s="37">
        <f>Ratio_Analysis!C11</f>
        <v>0.2842785329292416</v>
      </c>
      <c r="C12" s="37">
        <f>Ratio_Analysis!D11</f>
        <v>0.61184077998469033</v>
      </c>
      <c r="D12" s="38">
        <f t="shared" si="0"/>
        <v>-0.32756224705544873</v>
      </c>
      <c r="E12" s="39" t="str">
        <f>IF(B12&gt;C12,"🟢 Improved","🔴 Deteriorated")</f>
        <v>🔴 Deteriorated</v>
      </c>
    </row>
    <row r="15" spans="1:5" ht="21.75" customHeight="1" x14ac:dyDescent="0.35">
      <c r="A15" s="8" t="s">
        <v>168</v>
      </c>
      <c r="B15" s="8"/>
      <c r="C15" s="8"/>
      <c r="D15" s="8"/>
      <c r="E15" s="8"/>
    </row>
    <row r="16" spans="1:5" ht="39.75" customHeight="1" x14ac:dyDescent="0.35">
      <c r="A16" s="58" t="s">
        <v>122</v>
      </c>
      <c r="B16" s="7" t="s">
        <v>169</v>
      </c>
      <c r="C16" s="7"/>
      <c r="D16" s="7"/>
      <c r="E16" s="7"/>
    </row>
    <row r="17" spans="1:5" ht="39.75" customHeight="1" x14ac:dyDescent="0.35">
      <c r="A17" s="58" t="s">
        <v>125</v>
      </c>
      <c r="B17" s="6" t="s">
        <v>170</v>
      </c>
      <c r="C17" s="6"/>
      <c r="D17" s="6"/>
      <c r="E17" s="6"/>
    </row>
    <row r="18" spans="1:5" ht="39.75" customHeight="1" x14ac:dyDescent="0.35">
      <c r="A18" s="58" t="s">
        <v>128</v>
      </c>
      <c r="B18" s="5" t="s">
        <v>171</v>
      </c>
      <c r="C18" s="5"/>
      <c r="D18" s="5"/>
      <c r="E18" s="5"/>
    </row>
  </sheetData>
  <mergeCells count="7">
    <mergeCell ref="B17:E17"/>
    <mergeCell ref="B18:E18"/>
    <mergeCell ref="A1:E1"/>
    <mergeCell ref="A2:E2"/>
    <mergeCell ref="A4:E4"/>
    <mergeCell ref="A15:E15"/>
    <mergeCell ref="B16:E1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6"/>
  <sheetViews>
    <sheetView topLeftCell="A7" zoomScaleNormal="100" workbookViewId="0">
      <selection activeCell="A3" sqref="A3:B3"/>
    </sheetView>
  </sheetViews>
  <sheetFormatPr defaultColWidth="8.6328125" defaultRowHeight="14.5" x14ac:dyDescent="0.35"/>
  <cols>
    <col min="1" max="1" width="10" customWidth="1"/>
    <col min="2" max="2" width="90" customWidth="1"/>
  </cols>
  <sheetData>
    <row r="1" spans="1:2" ht="30" customHeight="1" x14ac:dyDescent="0.35">
      <c r="A1" s="14" t="s">
        <v>172</v>
      </c>
      <c r="B1" s="14"/>
    </row>
    <row r="3" spans="1:2" ht="18" customHeight="1" x14ac:dyDescent="0.35">
      <c r="A3" s="4" t="s">
        <v>173</v>
      </c>
      <c r="B3" s="4"/>
    </row>
    <row r="4" spans="1:2" ht="18" customHeight="1" x14ac:dyDescent="0.35">
      <c r="A4" s="3" t="s">
        <v>174</v>
      </c>
      <c r="B4" s="3"/>
    </row>
    <row r="5" spans="1:2" ht="18" customHeight="1" x14ac:dyDescent="0.35">
      <c r="A5" s="4" t="s">
        <v>175</v>
      </c>
      <c r="B5" s="4"/>
    </row>
    <row r="6" spans="1:2" ht="18" customHeight="1" x14ac:dyDescent="0.35">
      <c r="A6" s="3" t="s">
        <v>176</v>
      </c>
      <c r="B6" s="3"/>
    </row>
    <row r="7" spans="1:2" ht="18" customHeight="1" x14ac:dyDescent="0.35">
      <c r="A7" s="4" t="s">
        <v>177</v>
      </c>
      <c r="B7" s="4"/>
    </row>
    <row r="8" spans="1:2" ht="18" customHeight="1" x14ac:dyDescent="0.35">
      <c r="A8" s="3" t="s">
        <v>178</v>
      </c>
      <c r="B8" s="3"/>
    </row>
    <row r="9" spans="1:2" ht="18" customHeight="1" x14ac:dyDescent="0.35">
      <c r="A9" s="4" t="s">
        <v>179</v>
      </c>
      <c r="B9" s="4"/>
    </row>
    <row r="10" spans="1:2" ht="18" customHeight="1" x14ac:dyDescent="0.35">
      <c r="A10" s="3" t="s">
        <v>180</v>
      </c>
      <c r="B10" s="3"/>
    </row>
    <row r="11" spans="1:2" ht="13.5" customHeight="1" x14ac:dyDescent="0.35">
      <c r="A11" s="2"/>
      <c r="B11" s="2"/>
    </row>
    <row r="12" spans="1:2" ht="18" customHeight="1" x14ac:dyDescent="0.35">
      <c r="A12" s="1" t="s">
        <v>181</v>
      </c>
      <c r="B12" s="1"/>
    </row>
    <row r="13" spans="1:2" ht="39.75" customHeight="1" x14ac:dyDescent="0.35">
      <c r="A13" s="3" t="s">
        <v>182</v>
      </c>
      <c r="B13" s="3"/>
    </row>
    <row r="14" spans="1:2" ht="13.5" customHeight="1" x14ac:dyDescent="0.35">
      <c r="A14" s="2"/>
      <c r="B14" s="2"/>
    </row>
    <row r="15" spans="1:2" ht="18" customHeight="1" x14ac:dyDescent="0.35">
      <c r="A15" s="1" t="s">
        <v>183</v>
      </c>
      <c r="B15" s="1"/>
    </row>
    <row r="16" spans="1:2" ht="49.5" customHeight="1" x14ac:dyDescent="0.35">
      <c r="A16" s="62" t="s">
        <v>184</v>
      </c>
      <c r="B16" s="62"/>
    </row>
    <row r="17" spans="1:2" ht="49.5" customHeight="1" x14ac:dyDescent="0.35">
      <c r="A17" s="62" t="s">
        <v>185</v>
      </c>
      <c r="B17" s="62"/>
    </row>
    <row r="18" spans="1:2" ht="49.5" customHeight="1" x14ac:dyDescent="0.35">
      <c r="A18" s="62" t="s">
        <v>186</v>
      </c>
      <c r="B18" s="62"/>
    </row>
    <row r="19" spans="1:2" ht="49.5" customHeight="1" x14ac:dyDescent="0.35">
      <c r="A19" s="62" t="s">
        <v>187</v>
      </c>
      <c r="B19" s="62"/>
    </row>
    <row r="20" spans="1:2" ht="49.5" customHeight="1" x14ac:dyDescent="0.35">
      <c r="A20" s="62" t="s">
        <v>188</v>
      </c>
      <c r="B20" s="62"/>
    </row>
    <row r="21" spans="1:2" ht="13.5" customHeight="1" x14ac:dyDescent="0.35">
      <c r="A21" s="2"/>
      <c r="B21" s="2"/>
    </row>
    <row r="22" spans="1:2" ht="18" customHeight="1" x14ac:dyDescent="0.35">
      <c r="A22" s="1" t="s">
        <v>189</v>
      </c>
      <c r="B22" s="1"/>
    </row>
    <row r="23" spans="1:2" ht="39.75" customHeight="1" x14ac:dyDescent="0.35">
      <c r="A23" s="3" t="s">
        <v>190</v>
      </c>
      <c r="B23" s="3"/>
    </row>
    <row r="24" spans="1:2" ht="13.5" customHeight="1" x14ac:dyDescent="0.35">
      <c r="A24" s="2"/>
      <c r="B24" s="2"/>
    </row>
    <row r="25" spans="1:2" ht="18" customHeight="1" x14ac:dyDescent="0.35">
      <c r="A25" s="1" t="s">
        <v>191</v>
      </c>
      <c r="B25" s="1"/>
    </row>
    <row r="26" spans="1:2" ht="39.75" customHeight="1" x14ac:dyDescent="0.35">
      <c r="A26" s="3" t="s">
        <v>192</v>
      </c>
      <c r="B26" s="3"/>
    </row>
  </sheetData>
  <mergeCells count="25">
    <mergeCell ref="A22:B22"/>
    <mergeCell ref="A23:B23"/>
    <mergeCell ref="A24:B24"/>
    <mergeCell ref="A25:B25"/>
    <mergeCell ref="A26:B26"/>
    <mergeCell ref="A17:B17"/>
    <mergeCell ref="A18:B18"/>
    <mergeCell ref="A19:B19"/>
    <mergeCell ref="A20:B20"/>
    <mergeCell ref="A21:B21"/>
    <mergeCell ref="A12:B12"/>
    <mergeCell ref="A13:B13"/>
    <mergeCell ref="A14:B14"/>
    <mergeCell ref="A15:B15"/>
    <mergeCell ref="A16:B16"/>
    <mergeCell ref="A7:B7"/>
    <mergeCell ref="A8:B8"/>
    <mergeCell ref="A9:B9"/>
    <mergeCell ref="A10:B10"/>
    <mergeCell ref="A11:B11"/>
    <mergeCell ref="A1:B1"/>
    <mergeCell ref="A3:B3"/>
    <mergeCell ref="A4:B4"/>
    <mergeCell ref="A5:B5"/>
    <mergeCell ref="A6:B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
  <sheetViews>
    <sheetView zoomScaleNormal="100" workbookViewId="0">
      <pane xSplit="1" ySplit="4" topLeftCell="B19" activePane="bottomRight" state="frozen"/>
      <selection pane="topRight" activeCell="B1" sqref="B1"/>
      <selection pane="bottomLeft" activeCell="A5" sqref="A5"/>
      <selection pane="bottomRight" activeCell="B6" sqref="B6"/>
    </sheetView>
  </sheetViews>
  <sheetFormatPr defaultColWidth="8.6328125" defaultRowHeight="14.5" x14ac:dyDescent="0.35"/>
  <cols>
    <col min="1" max="1" width="6" customWidth="1"/>
    <col min="2" max="2" width="62" customWidth="1"/>
    <col min="3" max="3" width="44" customWidth="1"/>
  </cols>
  <sheetData>
    <row r="1" spans="1:3" ht="27.75" customHeight="1" x14ac:dyDescent="0.35">
      <c r="A1" s="63" t="s">
        <v>193</v>
      </c>
      <c r="B1" s="63"/>
      <c r="C1" s="63"/>
    </row>
    <row r="2" spans="1:3" ht="15.75" customHeight="1" x14ac:dyDescent="0.35">
      <c r="A2" s="9" t="s">
        <v>194</v>
      </c>
      <c r="B2" s="9"/>
      <c r="C2" s="9"/>
    </row>
    <row r="4" spans="1:3" ht="21.75" customHeight="1" x14ac:dyDescent="0.35">
      <c r="A4" s="15" t="s">
        <v>133</v>
      </c>
      <c r="B4" s="15" t="s">
        <v>195</v>
      </c>
      <c r="C4" s="15" t="s">
        <v>196</v>
      </c>
    </row>
    <row r="5" spans="1:3" ht="60" customHeight="1" x14ac:dyDescent="0.35">
      <c r="A5" s="54" t="s">
        <v>122</v>
      </c>
      <c r="B5" s="59" t="s">
        <v>197</v>
      </c>
      <c r="C5" s="60" t="s">
        <v>198</v>
      </c>
    </row>
    <row r="6" spans="1:3" ht="60" customHeight="1" x14ac:dyDescent="0.35">
      <c r="A6" s="54" t="s">
        <v>125</v>
      </c>
      <c r="B6" s="56" t="s">
        <v>199</v>
      </c>
      <c r="C6" s="61" t="s">
        <v>200</v>
      </c>
    </row>
    <row r="7" spans="1:3" ht="60" customHeight="1" x14ac:dyDescent="0.35">
      <c r="A7" s="54" t="s">
        <v>128</v>
      </c>
      <c r="B7" s="59" t="s">
        <v>201</v>
      </c>
      <c r="C7" s="60" t="s">
        <v>202</v>
      </c>
    </row>
    <row r="8" spans="1:3" ht="60" customHeight="1" x14ac:dyDescent="0.35">
      <c r="A8" s="54" t="s">
        <v>142</v>
      </c>
      <c r="B8" s="56" t="s">
        <v>203</v>
      </c>
      <c r="C8" s="61" t="s">
        <v>204</v>
      </c>
    </row>
    <row r="9" spans="1:3" ht="60" customHeight="1" x14ac:dyDescent="0.35">
      <c r="A9" s="54" t="s">
        <v>145</v>
      </c>
      <c r="B9" s="59" t="s">
        <v>205</v>
      </c>
      <c r="C9" s="60" t="s">
        <v>206</v>
      </c>
    </row>
    <row r="10" spans="1:3" ht="60" customHeight="1" x14ac:dyDescent="0.35">
      <c r="A10" s="54" t="s">
        <v>148</v>
      </c>
      <c r="B10" s="56" t="s">
        <v>207</v>
      </c>
      <c r="C10" s="61" t="s">
        <v>208</v>
      </c>
    </row>
  </sheetData>
  <mergeCells count="2">
    <mergeCell ref="A1:C1"/>
    <mergeCell ref="A2:C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Income_Statement</vt:lpstr>
      <vt:lpstr>Sheet1</vt:lpstr>
      <vt:lpstr>Balance_Sheet</vt:lpstr>
      <vt:lpstr>Ratio_Analysis</vt:lpstr>
      <vt:lpstr>Variance_Analysis</vt:lpstr>
      <vt:lpstr>Business_Questions</vt:lpstr>
      <vt:lpstr>Executive_Summary</vt:lpstr>
      <vt:lpstr>CFO_Memo</vt:lpstr>
      <vt:lpstr>Claude_Prompt_Log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FestMan Learning Hub</cp:lastModifiedBy>
  <cp:revision>0</cp:revision>
  <dcterms:created xsi:type="dcterms:W3CDTF">2026-05-18T21:14:43Z</dcterms:created>
  <dcterms:modified xsi:type="dcterms:W3CDTF">2026-05-18T22:05:30Z</dcterms:modified>
  <dc:language>en-US</dc:language>
</cp:coreProperties>
</file>